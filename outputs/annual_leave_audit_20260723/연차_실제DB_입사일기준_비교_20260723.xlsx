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1877ef49b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9b2f7af99d004829"/>
    <x:sheet xmlns:r="http://schemas.openxmlformats.org/officeDocument/2006/relationships" name="직원별 비교" sheetId="2" r:id="R764d831cd41e48ea"/>
    <x:sheet xmlns:r="http://schemas.openxmlformats.org/officeDocument/2006/relationships" name="발생 원장" sheetId="3" r:id="R281ee7b0d4fa49fb"/>
    <x:sheet xmlns:r="http://schemas.openxmlformats.org/officeDocument/2006/relationships" name="사용 원장" sheetId="4" r:id="Rcc8504ac2b2345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;[Red]-#,##0.0"/>
    <x:numFmt numFmtId="202" formatCode="yyyy-mm-dd hh:mm"/>
    <x:numFmt numFmtId="203" formatCode="#,##0.0"/>
    <x:numFmt numFmtId="204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55B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7C2D12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AF2FF"/>
      </x:patternFill>
    </x:fill>
    <x:fill>
      <x:patternFill patternType="solid">
        <x:fgColor rgb="FFE6F6F3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10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 wrapText="1"/>
    </x:xf>
    <x:xf numFmtId="0" fontId="2" fillId="4" borderId="7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201" fontId="2" fillId="4" borderId="7" xfId="0" applyNumberFormat="1" applyFont="1" applyFill="1" applyBorder="1" applyAlignment="1">
      <x:alignment horizontal="center"/>
    </x:xf>
    <x:xf numFmtId="202" fontId="0" fillId="0" borderId="7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/>
    <x:xf numFmtId="0" fontId="3" fillId="5" borderId="8" xfId="0" applyNumberFormat="1" applyFont="1" applyFill="1" applyBorder="1"/>
    <x:xf numFmtId="0" fontId="3" fillId="5" borderId="2" xfId="0" applyNumberFormat="1" applyFont="1" applyFill="1" applyBorder="1"/>
    <x:xf numFmtId="0" fontId="0" fillId="6" borderId="3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201" fontId="0" fillId="7" borderId="0" xfId="0" applyNumberFormat="1" applyFont="1" applyFill="1" applyBorder="1"/>
    <x:xf numFmtId="201" fontId="0" fillId="3" borderId="0" xfId="0" applyNumberFormat="1" applyFont="1" applyFill="1" applyBorder="1"/>
    <x:xf numFmtId="201" fontId="0" fillId="6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d008eaf29d4e13" /><Relationship Type="http://schemas.openxmlformats.org/officeDocument/2006/relationships/theme" Target="/xl/theme/theme1.xml" Id="R9f905a8b448c4a17" /><Relationship Type="http://schemas.openxmlformats.org/officeDocument/2006/relationships/sharedStrings" Target="/xl/sharedStrings.xml" Id="R51d137089b364acf" /><Relationship Type="http://schemas.openxmlformats.org/officeDocument/2006/relationships/worksheet" Target="/xl/worksheets/sheet1.xml" Id="R9b2f7af99d004829" /><Relationship Type="http://schemas.openxmlformats.org/officeDocument/2006/relationships/worksheet" Target="/xl/worksheets/sheet2.xml" Id="R764d831cd41e48ea" /><Relationship Type="http://schemas.openxmlformats.org/officeDocument/2006/relationships/worksheet" Target="/xl/worksheets/sheet3.xml" Id="R281ee7b0d4fa49fb" /><Relationship Type="http://schemas.openxmlformats.org/officeDocument/2006/relationships/worksheet" Target="/xl/worksheets/sheet4.xml" Id="Rcc8504ac2b234560" /></Relationships>
</file>

<file path=xl/tables/table1.xml><?xml version="1.0" encoding="utf-8"?>
<x:table xmlns:x="http://schemas.openxmlformats.org/spreadsheetml/2006/main" id="1" name="AnnualLeaveComparisonTable" displayName="AnnualLeaveComparisonTable" ref="A6:X53" headerRowCount="1" totalsRowCount="0" totalsRowShown="0">
  <x:tableColumns count="24">
    <x:tableColumn id="1" name="직원 ID"/>
    <x:tableColumn id="2" name="회사"/>
    <x:tableColumn id="3" name="사번"/>
    <x:tableColumn id="4" name="직원명"/>
    <x:tableColumn id="5" name="상태"/>
    <x:tableColumn id="6" name="입사일"/>
    <x:tableColumn id="7" name="완료 월수"/>
    <x:tableColumn id="8" name="현 입사주기 시작"/>
    <x:tableColumn id="9" name="현 입사주기 종료"/>
    <x:tableColumn id="10" name="입사일 기준 발생"/>
    <x:tableColumn id="11" name="DB 총부여"/>
    <x:tableColumn id="12" name="DB 사용"/>
    <x:tableColumn id="13" name="입사주기 원장사용"/>
    <x:tableColumn id="14" name="2026 원장사용"/>
    <x:tableColumn id="15" name="소멸"/>
    <x:tableColumn id="16" name="수당지급"/>
    <x:tableColumn id="17" name="DB 잔여"/>
    <x:tableColumn id="18" name="공식 잔여"/>
    <x:tableColumn id="19" name="DB총부여−입사기준"/>
    <x:tableColumn id="20" name="DB사용−입사주기"/>
    <x:tableColumn id="21" name="DB잔여−공식"/>
    <x:tableColumn id="22" name="판정"/>
    <x:tableColumn id="23" name="수동부여 기록"/>
    <x:tableColumn id="24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rualLedgerTable" displayName="AccrualLedgerTable" ref="A3:J399" headerRowCount="1" totalsRowCount="0" totalsRowShown="0">
  <x:tableColumns count="10">
    <x:tableColumn id="1" name="직원 ID"/>
    <x:tableColumn id="2" name="회사"/>
    <x:tableColumn id="3" name="직원명"/>
    <x:tableColumn id="4" name="구분"/>
    <x:tableColumn id="5" name="기간키"/>
    <x:tableColumn id="6" name="일수"/>
    <x:tableColumn id="7" name="연도"/>
    <x:tableColumn id="8" name="발생일"/>
    <x:tableColumn id="9" name="비고"/>
    <x:tableColumn id="10" name="생성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sageLedgerTable" displayName="UsageLedgerTable" ref="A3:K302" headerRowCount="1" totalsRowCount="0" totalsRowShown="0">
  <x:tableColumns count="11">
    <x:tableColumn id="1" name="직원 ID"/>
    <x:tableColumn id="2" name="회사"/>
    <x:tableColumn id="3" name="직원명"/>
    <x:tableColumn id="4" name="휴가유형"/>
    <x:tableColumn id="5" name="시작일"/>
    <x:tableColumn id="6" name="종료일"/>
    <x:tableColumn id="7" name="DB 일수"/>
    <x:tableColumn id="8" name="상태"/>
    <x:tableColumn id="9" name="사유"/>
    <x:tableColumn id="10" name="연차 차감일수"/>
    <x:tableColumn id="11" name="승인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8c30fcb93741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2fe91323be4b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633d37bae14b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0" hidden="0" customWidth="1"/>
  </x:cols>
  <x:sheetData>
    <x:row r="1" ht="30" customHeight="1">
      <x:c r="A1" s="4" t="str">
        <x:v>연차 실DB · 입사일 기준 발생 · 사용 비교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7" t="str">
        <x:v>기준일</x:v>
      </x:c>
      <x:c r="B3" s="13" t="n">
        <x:v>46226</x:v>
      </x:c>
    </x:row>
    <x:row r="4">
      <x:c r="A4" s="9" t="str">
        <x:v>대상</x:v>
      </x:c>
      <x:c r="B4" s="14" t="str">
        <x:v>재직 또는 상태값 미입력 직원</x:v>
      </x:c>
    </x:row>
    <x:row r="5">
      <x:c r="A5" s="11" t="str">
        <x:v>계산 기준</x:v>
      </x:c>
      <x:c r="B5" s="15" t="str">
        <x:v>입사일만 반영한 법정 기준(출근율·휴직·근로형태·수동조정 제외)</x:v>
      </x:c>
    </x:row>
    <x:row r="7">
      <x:c r="A7" s="22" t="str">
        <x:v>재직 대상</x:v>
      </x:c>
      <x:c r="B7" s="22" t="str">
        <x:v>확인 필요</x:v>
      </x:c>
      <x:c r="C7" s="22" t="str">
        <x:v>잔액 미생성</x:v>
      </x:c>
      <x:c r="D7" s="22" t="str">
        <x:v>수동부여 기록</x:v>
      </x:c>
      <x:c r="E7" s="22" t="str">
        <x:v>DB 잔여 합계</x:v>
      </x:c>
      <x:c r="F7" s="22" t="str">
        <x:v>입사기준 발생 합계</x:v>
      </x:c>
      <x:c r="G7" s="22" t="str">
        <x:v>DB 사용 합계</x:v>
      </x:c>
      <x:c r="H7" s="22" t="str">
        <x:v>입사주기 원장사용 합계</x:v>
      </x:c>
      <x:c r="I7" s="22" t="str">
        <x:v>DB 총부여 차이 합계</x:v>
      </x:c>
      <x:c r="J7" s="22" t="str">
        <x:v>DB 사용 차이 합계</x:v>
      </x:c>
      <x:c r="K7" s="22" t="str">
        <x:v>DB 잔여 차이 합계</x:v>
      </x:c>
      <x:c r="L7" s="22" t="str">
        <x:v>생성 시각</x:v>
      </x:c>
    </x:row>
    <x:row r="8">
      <x:c r="A8" s="23" t="n">
        <x:f>COUNTA('직원별 비교'!$D$7:$D$53)</x:f>
        <x:v>47</x:v>
      </x:c>
      <x:c r="B8" s="23" t="n">
        <x:f>COUNTIF('직원별 비교'!$V$7:$V$53,"확인 필요")+COUNTIF('직원별 비교'!$V$7:$V$53,"잔액 미생성")</x:f>
        <x:v>14</x:v>
      </x:c>
      <x:c r="C8" s="23" t="n">
        <x:f>COUNTIF('직원별 비교'!$V$7:$V$53,"잔액 미생성")</x:f>
        <x:v>1</x:v>
      </x:c>
      <x:c r="D8" s="23" t="n">
        <x:f>SUM('직원별 비교'!$W$7:$W$53)</x:f>
        <x:v>10</x:v>
      </x:c>
      <x:c r="E8" s="25" t="n">
        <x:f>SUM('직원별 비교'!$Q$7:$Q$53)</x:f>
        <x:v>271</x:v>
      </x:c>
      <x:c r="F8" s="25" t="n">
        <x:f>SUM('직원별 비교'!$J$7:$J$53)</x:f>
        <x:v>471</x:v>
      </x:c>
      <x:c r="G8" s="25" t="n">
        <x:f>SUM('직원별 비교'!$L$7:$L$53)</x:f>
        <x:v>191</x:v>
      </x:c>
      <x:c r="H8" s="25" t="n">
        <x:f>SUM('직원별 비교'!$M$7:$M$53)</x:f>
        <x:v>187</x:v>
      </x:c>
      <x:c r="I8" s="25" t="n">
        <x:f>SUM('직원별 비교'!$S$7:$S$53)</x:f>
        <x:v>-6</x:v>
      </x:c>
      <x:c r="J8" s="25" t="n">
        <x:f>SUM('직원별 비교'!$T$7:$T$53)</x:f>
        <x:v>4</x:v>
      </x:c>
      <x:c r="K8" s="25" t="n">
        <x:f>SUM('직원별 비교'!$U$7:$U$53)</x:f>
        <x:v>-4</x:v>
      </x:c>
      <x:c r="L8" s="26" t="n">
        <x:f>NOW()</x:f>
        <x:v>46226</x:v>
      </x:c>
    </x:row>
    <x:row r="11">
      <x:c r="A11" s="32" t="str">
        <x:v>열 설명 및 판정 기준</x:v>
      </x:c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4"/>
    </x:row>
    <x:row r="12" ht="24" customHeight="1">
      <x:c r="A12" s="35" t="str">
        <x:v>DB 잔여: leave_balances.remaining_days에 저장된 실제 운영 값입니다.</x:v>
      </x:c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6"/>
    </x:row>
    <x:row r="13" ht="24" customHeight="1">
      <x:c r="A13" s="35" t="str">
        <x:v>공식 잔여: DB 총부여 − DB 사용 − 소멸 − 수당지급입니다.</x:v>
      </x:c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6"/>
    </x:row>
    <x:row r="14" ht="24" customHeight="1">
      <x:c r="A14" s="35" t="str">
        <x:v>입사일 기준 발생: 입사 후 12개월 미만은 완료 월수(최대 11일), 1년 이상은 15일에서 2년마다 1일 증가(최대 25일)입니다.</x:v>
      </x:c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6"/>
    </x:row>
    <x:row r="15" ht="24" customHeight="1">
      <x:c r="A15" s="35" t="str">
        <x:v>입사주기 원장사용: 승인된 연차·반차·과거사용·이력 중 현재 입사일 주기에 시작한 기록의 합계입니다.</x:v>
      </x:c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6"/>
    </x:row>
    <x:row r="16" ht="24" customHeight="1">
      <x:c r="A16" s="37" t="str">
        <x:v>확인 필요: DB 총부여/사용/잔여 중 어느 하나라도 기준과 0.01일 이상 차이 나는 경우입니다.</x:v>
      </x:c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9"/>
    </x:row>
  </x:sheetData>
  <x:mergeCells>
    <x:mergeCell ref="A1:L1"/>
    <x:mergeCell ref="A11:L11"/>
    <x:mergeCell ref="A12:L12"/>
    <x:mergeCell ref="A13:L13"/>
    <x:mergeCell ref="A14:L14"/>
    <x:mergeCell ref="A15:L15"/>
    <x:mergeCell ref="A16:L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0" hidden="0" customWidth="1"/>
    <x:col min="4" max="4" width="13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4" hidden="0" customWidth="1"/>
    <x:col min="23" max="23" width="14" hidden="0" customWidth="1"/>
    <x:col min="24" max="24" width="28" hidden="0" customWidth="1"/>
  </x:cols>
  <x:sheetData>
    <x:row r="1" ht="28" customHeight="1">
      <x:c r="A1" s="41" t="str">
        <x:v>직원별 연차 비교 — 실제 DB / 입사일 기준 / 사용 원장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</x:row>
    <x:row r="3">
      <x:c r="A3" s="45" t="str">
        <x:v>노란색 열은 입사일 기준 계산값, 파란색 열은 운영 DB 잔액값입니다. 차이 열이 0이 아니거나 DB 잔액 행이 없으면 확인이 필요합니다.</x:v>
      </x:c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</x:row>
    <x:row r="6" ht="38" customHeight="1">
      <x:c r="A6" s="46" t="str">
        <x:v>직원 ID</x:v>
      </x:c>
      <x:c r="B6" s="46" t="str">
        <x:v>회사</x:v>
      </x:c>
      <x:c r="C6" s="46" t="str">
        <x:v>사번</x:v>
      </x:c>
      <x:c r="D6" s="46" t="str">
        <x:v>직원명</x:v>
      </x:c>
      <x:c r="E6" s="46" t="str">
        <x:v>상태</x:v>
      </x:c>
      <x:c r="F6" s="46" t="str">
        <x:v>입사일</x:v>
      </x:c>
      <x:c r="G6" s="46" t="str">
        <x:v>완료 월수</x:v>
      </x:c>
      <x:c r="H6" s="46" t="str">
        <x:v>현 입사주기 시작</x:v>
      </x:c>
      <x:c r="I6" s="46" t="str">
        <x:v>현 입사주기 종료</x:v>
      </x:c>
      <x:c r="J6" s="46" t="str">
        <x:v>입사일 기준 발생</x:v>
      </x:c>
      <x:c r="K6" s="46" t="str">
        <x:v>DB 총부여</x:v>
      </x:c>
      <x:c r="L6" s="46" t="str">
        <x:v>DB 사용</x:v>
      </x:c>
      <x:c r="M6" s="46" t="str">
        <x:v>입사주기 원장사용</x:v>
      </x:c>
      <x:c r="N6" s="46" t="str">
        <x:v>2026 원장사용</x:v>
      </x:c>
      <x:c r="O6" s="46" t="str">
        <x:v>소멸</x:v>
      </x:c>
      <x:c r="P6" s="46" t="str">
        <x:v>수당지급</x:v>
      </x:c>
      <x:c r="Q6" s="46" t="str">
        <x:v>DB 잔여</x:v>
      </x:c>
      <x:c r="R6" s="46" t="str">
        <x:v>공식 잔여</x:v>
      </x:c>
      <x:c r="S6" s="46" t="str">
        <x:v>DB총부여−입사기준</x:v>
      </x:c>
      <x:c r="T6" s="46" t="str">
        <x:v>DB사용−입사주기</x:v>
      </x:c>
      <x:c r="U6" s="46" t="str">
        <x:v>DB잔여−공식</x:v>
      </x:c>
      <x:c r="V6" s="46" t="str">
        <x:v>판정</x:v>
      </x:c>
      <x:c r="W6" s="46" t="str">
        <x:v>수동부여 기록</x:v>
      </x:c>
      <x:c r="X6" s="46" t="str">
        <x:v>비고</x:v>
      </x:c>
    </x:row>
    <x:row r="7">
      <x:c r="A7" s="49" t="str">
        <x:v>76ddb717-6f2f-46ee-aa76-1db2ae11f359</x:v>
      </x:c>
      <x:c r="B7" s="49" t="str">
        <x:v>SY INC.</x:v>
      </x:c>
      <x:c r="C7" s="49" t="str">
        <x:v>47</x:v>
      </x:c>
      <x:c r="D7" s="49" t="str">
        <x:v>김이지</x:v>
      </x:c>
      <x:c r="E7" s="49" t="str">
        <x:v>재직</x:v>
      </x:c>
      <x:c r="F7" s="47" t="n">
        <x:v>45525</x:v>
      </x:c>
      <x:c r="G7" s="48" t="n">
        <x:f>IF(F7="","",MAX(0,(YEAR('요약'!$B$3)-YEAR(F7))*12+MONTH('요약'!$B$3)-MONTH(F7)-IF(DAY('요약'!$B$3)&lt;DAY(F7),1,0)))</x:f>
        <x:v>23</x:v>
      </x:c>
      <x:c r="H7" s="47" t="n">
        <x:f>IF(F7="","",DATE(YEAR('요약'!$B$3)-IF(DATE(YEAR('요약'!$B$3),MONTH(F7),DAY(F7))&gt;'요약'!$B$3,1,0),MONTH(F7),DAY(F7)))</x:f>
        <x:v>45890</x:v>
      </x:c>
      <x:c r="I7" s="47" t="n">
        <x:f>IF(H7="","",DATE(YEAR(H7)+1,MONTH(H7),DAY(H7))-1)</x:f>
        <x:v>46254</x:v>
      </x:c>
      <x:c r="J7" s="50" t="n">
        <x:f>IF(F7="","",IF(G7&lt;12,MIN(11,G7),MIN(25,15+INT((G7-12)/24))))</x:f>
        <x:v>15</x:v>
      </x:c>
      <x:c r="K7" s="51" t="n">
        <x:v>15</x:v>
      </x:c>
      <x:c r="L7" s="51" t="n">
        <x:v>8</x:v>
      </x:c>
      <x:c r="M7" s="48" t="n">
        <x:f>SUMIFS('사용 원장'!$J$4:$J$302,'사용 원장'!$A$4:$A$302,A7,'사용 원장'!$E$4:$E$302,"&gt;="&amp;H7,'사용 원장'!$E$4:$E$302,"&lt;="&amp;I7)</x:f>
        <x:v>8</x:v>
      </x:c>
      <x:c r="N7" s="48" t="n">
        <x:v>8</x:v>
      </x:c>
      <x:c r="O7" s="51" t="n">
        <x:v>0</x:v>
      </x:c>
      <x:c r="P7" s="51" t="n">
        <x:v>0</x:v>
      </x:c>
      <x:c r="Q7" s="51" t="n">
        <x:v>7</x:v>
      </x:c>
      <x:c r="R7" s="52" t="n">
        <x:f>IF(COUNTA(Q7)=0,"",MAX(0,K7-L7-O7-P7))</x:f>
        <x:v>7</x:v>
      </x:c>
      <x:c r="S7" s="52" t="n">
        <x:f>IF(COUNTA(K7)=0,"",K7-J7)</x:f>
        <x:v>0</x:v>
      </x:c>
      <x:c r="T7" s="52" t="n">
        <x:f>IF(COUNTA(L7)=0,"",L7-M7)</x:f>
        <x:v>0</x:v>
      </x:c>
      <x:c r="U7" s="52" t="n">
        <x:f>IF(COUNTA(Q7)=0,"",Q7-R7)</x:f>
        <x:v>0</x:v>
      </x:c>
      <x:c r="V7" s="49" t="str">
        <x:f>IF(COUNTA(F7)=0,"입사일 없음",IF(COUNTA(Q7)=0,"잔액 미생성",IF(OR(IF(COUNTA(S7)=0,FALSE,ABS(S7)&gt;0.01),IF(COUNTA(T7)=0,FALSE,ABS(T7)&gt;0.01),IF(COUNTA(U7)=0,FALSE,ABS(U7)&gt;0.01)),"확인 필요","정상")))</x:f>
        <x:v>정상</x:v>
      </x:c>
      <x:c r="W7" s="48" t="n">
        <x:v>0</x:v>
      </x:c>
      <x:c r="X7" s="49" t="str"/>
    </x:row>
    <x:row r="8">
      <x:c r="A8" s="49" t="str">
        <x:v>f9155e80-7804-48b6-8f0c-636156bf0918</x:v>
      </x:c>
      <x:c r="B8" s="49" t="str">
        <x:v>SY INC.</x:v>
      </x:c>
      <x:c r="C8" s="49" t="str">
        <x:v>68</x:v>
      </x:c>
      <x:c r="D8" s="49" t="str">
        <x:v>박은빈</x:v>
      </x:c>
      <x:c r="E8" s="49" t="str">
        <x:v>재직</x:v>
      </x:c>
      <x:c r="F8" s="47" t="n">
        <x:v>46155</x:v>
      </x:c>
      <x:c r="G8" s="48" t="n">
        <x:f>IF(F8="","",MAX(0,(YEAR('요약'!$B$3)-YEAR(F8))*12+MONTH('요약'!$B$3)-MONTH(F8)-IF(DAY('요약'!$B$3)&lt;DAY(F8),1,0)))</x:f>
        <x:v>2</x:v>
      </x:c>
      <x:c r="H8" s="47" t="n">
        <x:f>IF(F8="","",DATE(YEAR('요약'!$B$3)-IF(DATE(YEAR('요약'!$B$3),MONTH(F8),DAY(F8))&gt;'요약'!$B$3,1,0),MONTH(F8),DAY(F8)))</x:f>
        <x:v>46155</x:v>
      </x:c>
      <x:c r="I8" s="47" t="n">
        <x:f>IF(H8="","",DATE(YEAR(H8)+1,MONTH(H8),DAY(H8))-1)</x:f>
        <x:v>46519</x:v>
      </x:c>
      <x:c r="J8" s="50" t="n">
        <x:f>IF(F8="","",IF(G8&lt;12,MIN(11,G8),MIN(25,15+INT((G8-12)/24))))</x:f>
        <x:v>2</x:v>
      </x:c>
      <x:c r="K8" s="51" t="n">
        <x:v>2</x:v>
      </x:c>
      <x:c r="L8" s="51" t="n">
        <x:v>0</x:v>
      </x:c>
      <x:c r="M8" s="48" t="n">
        <x:f>SUMIFS('사용 원장'!$J$4:$J$302,'사용 원장'!$A$4:$A$302,A8,'사용 원장'!$E$4:$E$302,"&gt;="&amp;H8,'사용 원장'!$E$4:$E$302,"&lt;="&amp;I8)</x:f>
        <x:v>0</x:v>
      </x:c>
      <x:c r="N8" s="48" t="n">
        <x:v>0</x:v>
      </x:c>
      <x:c r="O8" s="51" t="n">
        <x:v>0</x:v>
      </x:c>
      <x:c r="P8" s="51" t="n">
        <x:v>0</x:v>
      </x:c>
      <x:c r="Q8" s="51" t="n">
        <x:v>2</x:v>
      </x:c>
      <x:c r="R8" s="52" t="n">
        <x:f>IF(COUNTA(Q8)=0,"",MAX(0,K8-L8-O8-P8))</x:f>
        <x:v>2</x:v>
      </x:c>
      <x:c r="S8" s="52" t="n">
        <x:f>IF(COUNTA(K8)=0,"",K8-J8)</x:f>
        <x:v>0</x:v>
      </x:c>
      <x:c r="T8" s="52" t="n">
        <x:f>IF(COUNTA(L8)=0,"",L8-M8)</x:f>
        <x:v>0</x:v>
      </x:c>
      <x:c r="U8" s="52" t="n">
        <x:f>IF(COUNTA(Q8)=0,"",Q8-R8)</x:f>
        <x:v>0</x:v>
      </x:c>
      <x:c r="V8" s="49" t="str">
        <x:f>IF(COUNTA(F8)=0,"입사일 없음",IF(COUNTA(Q8)=0,"잔액 미생성",IF(OR(IF(COUNTA(S8)=0,FALSE,ABS(S8)&gt;0.01),IF(COUNTA(T8)=0,FALSE,ABS(T8)&gt;0.01),IF(COUNTA(U8)=0,FALSE,ABS(U8)&gt;0.01)),"확인 필요","정상")))</x:f>
        <x:v>정상</x:v>
      </x:c>
      <x:c r="W8" s="48" t="n">
        <x:v>0</x:v>
      </x:c>
      <x:c r="X8" s="49" t="str"/>
    </x:row>
    <x:row r="9">
      <x:c r="A9" s="49" t="str">
        <x:v>de7c12df-3c36-497f-bbcc-3ff8d76bf750</x:v>
      </x:c>
      <x:c r="B9" s="49" t="str">
        <x:v>SY INC.</x:v>
      </x:c>
      <x:c r="C9" s="49" t="str">
        <x:v>74</x:v>
      </x:c>
      <x:c r="D9" s="49" t="str">
        <x:v>박은수</x:v>
      </x:c>
      <x:c r="E9" s="49" t="str">
        <x:v>재직</x:v>
      </x:c>
      <x:c r="F9" s="47" t="n">
        <x:v>46223</x:v>
      </x:c>
      <x:c r="G9" s="48" t="n">
        <x:f>IF(F9="","",MAX(0,(YEAR('요약'!$B$3)-YEAR(F9))*12+MONTH('요약'!$B$3)-MONTH(F9)-IF(DAY('요약'!$B$3)&lt;DAY(F9),1,0)))</x:f>
        <x:v>0</x:v>
      </x:c>
      <x:c r="H9" s="47" t="n">
        <x:f>IF(F9="","",DATE(YEAR('요약'!$B$3)-IF(DATE(YEAR('요약'!$B$3),MONTH(F9),DAY(F9))&gt;'요약'!$B$3,1,0),MONTH(F9),DAY(F9)))</x:f>
        <x:v>46223</x:v>
      </x:c>
      <x:c r="I9" s="47" t="n">
        <x:f>IF(H9="","",DATE(YEAR(H9)+1,MONTH(H9),DAY(H9))-1)</x:f>
        <x:v>46587</x:v>
      </x:c>
      <x:c r="J9" s="50" t="n">
        <x:f>IF(F9="","",IF(G9&lt;12,MIN(11,G9),MIN(25,15+INT((G9-12)/24))))</x:f>
        <x:v>0</x:v>
      </x:c>
      <x:c r="K9" s="51"/>
      <x:c r="L9" s="51"/>
      <x:c r="M9" s="48" t="n">
        <x:f>SUMIFS('사용 원장'!$J$4:$J$302,'사용 원장'!$A$4:$A$302,A9,'사용 원장'!$E$4:$E$302,"&gt;="&amp;H9,'사용 원장'!$E$4:$E$302,"&lt;="&amp;I9)</x:f>
        <x:v>0</x:v>
      </x:c>
      <x:c r="N9" s="48" t="n">
        <x:v>0</x:v>
      </x:c>
      <x:c r="O9" s="51"/>
      <x:c r="P9" s="51"/>
      <x:c r="Q9" s="51"/>
      <x:c r="R9" s="52" t="str">
        <x:f>IF(COUNTA(Q9)=0,"",MAX(0,K9-L9-O9-P9))</x:f>
      </x:c>
      <x:c r="S9" s="52" t="str">
        <x:f>IF(COUNTA(K9)=0,"",K9-J9)</x:f>
      </x:c>
      <x:c r="T9" s="52" t="str">
        <x:f>IF(COUNTA(L9)=0,"",L9-M9)</x:f>
      </x:c>
      <x:c r="U9" s="52" t="str">
        <x:f>IF(COUNTA(Q9)=0,"",Q9-R9)</x:f>
      </x:c>
      <x:c r="V9" s="49" t="str">
        <x:f>IF(COUNTA(F9)=0,"입사일 없음",IF(COUNTA(Q9)=0,"잔액 미생성",IF(OR(IF(COUNTA(S9)=0,FALSE,ABS(S9)&gt;0.01),IF(COUNTA(T9)=0,FALSE,ABS(T9)&gt;0.01),IF(COUNTA(U9)=0,FALSE,ABS(U9)&gt;0.01)),"확인 필요","정상")))</x:f>
        <x:v>잔액 미생성</x:v>
      </x:c>
      <x:c r="W9" s="48" t="n">
        <x:v>0</x:v>
      </x:c>
      <x:c r="X9" s="49" t="str">
        <x:v>2026 잔액 행 없음 · 발생원장 없음</x:v>
      </x:c>
    </x:row>
    <x:row r="10">
      <x:c r="A10" s="49" t="str">
        <x:v>0cda84a2-4b9e-4ef9-a886-973a48c4d97b</x:v>
      </x:c>
      <x:c r="B10" s="49" t="str">
        <x:v>SY INC.</x:v>
      </x:c>
      <x:c r="C10" s="49" t="str">
        <x:v>43</x:v>
      </x:c>
      <x:c r="D10" s="49" t="str">
        <x:v>백민</x:v>
      </x:c>
      <x:c r="E10" s="49" t="str">
        <x:v>재직</x:v>
      </x:c>
      <x:c r="F10" s="47" t="n">
        <x:v>46051</x:v>
      </x:c>
      <x:c r="G10" s="48" t="n">
        <x:f>IF(F10="","",MAX(0,(YEAR('요약'!$B$3)-YEAR(F10))*12+MONTH('요약'!$B$3)-MONTH(F10)-IF(DAY('요약'!$B$3)&lt;DAY(F10),1,0)))</x:f>
        <x:v>5</x:v>
      </x:c>
      <x:c r="H10" s="47" t="n">
        <x:f>IF(F10="","",DATE(YEAR('요약'!$B$3)-IF(DATE(YEAR('요약'!$B$3),MONTH(F10),DAY(F10))&gt;'요약'!$B$3,1,0),MONTH(F10),DAY(F10)))</x:f>
        <x:v>46051</x:v>
      </x:c>
      <x:c r="I10" s="47" t="n">
        <x:f>IF(H10="","",DATE(YEAR(H10)+1,MONTH(H10),DAY(H10))-1)</x:f>
        <x:v>46415</x:v>
      </x:c>
      <x:c r="J10" s="50" t="n">
        <x:f>IF(F10="","",IF(G10&lt;12,MIN(11,G10),MIN(25,15+INT((G10-12)/24))))</x:f>
        <x:v>5</x:v>
      </x:c>
      <x:c r="K10" s="51" t="n">
        <x:v>5</x:v>
      </x:c>
      <x:c r="L10" s="51" t="n">
        <x:v>5</x:v>
      </x:c>
      <x:c r="M10" s="48" t="n">
        <x:f>SUMIFS('사용 원장'!$J$4:$J$302,'사용 원장'!$A$4:$A$302,A10,'사용 원장'!$E$4:$E$302,"&gt;="&amp;H10,'사용 원장'!$E$4:$E$302,"&lt;="&amp;I10)</x:f>
        <x:v>5</x:v>
      </x:c>
      <x:c r="N10" s="48" t="n">
        <x:v>6</x:v>
      </x:c>
      <x:c r="O10" s="51" t="n">
        <x:v>0</x:v>
      </x:c>
      <x:c r="P10" s="51" t="n">
        <x:v>0</x:v>
      </x:c>
      <x:c r="Q10" s="51" t="n">
        <x:v>0</x:v>
      </x:c>
      <x:c r="R10" s="52" t="n">
        <x:f>IF(COUNTA(Q10)=0,"",MAX(0,K10-L10-O10-P10))</x:f>
        <x:v>0</x:v>
      </x:c>
      <x:c r="S10" s="52" t="n">
        <x:f>IF(COUNTA(K10)=0,"",K10-J10)</x:f>
        <x:v>0</x:v>
      </x:c>
      <x:c r="T10" s="52" t="n">
        <x:f>IF(COUNTA(L10)=0,"",L10-M10)</x:f>
        <x:v>0</x:v>
      </x:c>
      <x:c r="U10" s="52" t="n">
        <x:f>IF(COUNTA(Q10)=0,"",Q10-R10)</x:f>
        <x:v>0</x:v>
      </x:c>
      <x:c r="V10" s="49" t="str">
        <x:f>IF(COUNTA(F10)=0,"입사일 없음",IF(COUNTA(Q10)=0,"잔액 미생성",IF(OR(IF(COUNTA(S10)=0,FALSE,ABS(S10)&gt;0.01),IF(COUNTA(T10)=0,FALSE,ABS(T10)&gt;0.01),IF(COUNTA(U10)=0,FALSE,ABS(U10)&gt;0.01)),"확인 필요","정상")))</x:f>
        <x:v>정상</x:v>
      </x:c>
      <x:c r="W10" s="48" t="n">
        <x:v>0</x:v>
      </x:c>
      <x:c r="X10" s="49" t="str"/>
    </x:row>
    <x:row r="11">
      <x:c r="A11" s="49" t="str">
        <x:v>38bd18fa-36ce-46d5-bb51-b9c55ac166e7</x:v>
      </x:c>
      <x:c r="B11" s="49" t="str">
        <x:v>SY INC.</x:v>
      </x:c>
      <x:c r="C11" s="49" t="str">
        <x:v>2</x:v>
      </x:c>
      <x:c r="D11" s="49" t="str">
        <x:v>백정민</x:v>
      </x:c>
      <x:c r="E11" s="49" t="str">
        <x:v>재직</x:v>
      </x:c>
      <x:c r="F11" s="47" t="n">
        <x:v>45139</x:v>
      </x:c>
      <x:c r="G11" s="48" t="n">
        <x:f>IF(F11="","",MAX(0,(YEAR('요약'!$B$3)-YEAR(F11))*12+MONTH('요약'!$B$3)-MONTH(F11)-IF(DAY('요약'!$B$3)&lt;DAY(F11),1,0)))</x:f>
        <x:v>35</x:v>
      </x:c>
      <x:c r="H11" s="47" t="n">
        <x:f>IF(F11="","",DATE(YEAR('요약'!$B$3)-IF(DATE(YEAR('요약'!$B$3),MONTH(F11),DAY(F11))&gt;'요약'!$B$3,1,0),MONTH(F11),DAY(F11)))</x:f>
        <x:v>45870</x:v>
      </x:c>
      <x:c r="I11" s="47" t="n">
        <x:f>IF(H11="","",DATE(YEAR(H11)+1,MONTH(H11),DAY(H11))-1)</x:f>
        <x:v>46234</x:v>
      </x:c>
      <x:c r="J11" s="50" t="n">
        <x:f>IF(F11="","",IF(G11&lt;12,MIN(11,G11),MIN(25,15+INT((G11-12)/24))))</x:f>
        <x:v>15</x:v>
      </x:c>
      <x:c r="K11" s="51" t="n">
        <x:v>15</x:v>
      </x:c>
      <x:c r="L11" s="51" t="n">
        <x:v>0</x:v>
      </x:c>
      <x:c r="M11" s="48" t="n">
        <x:f>SUMIFS('사용 원장'!$J$4:$J$302,'사용 원장'!$A$4:$A$302,A11,'사용 원장'!$E$4:$E$302,"&gt;="&amp;H11,'사용 원장'!$E$4:$E$302,"&lt;="&amp;I11)</x:f>
        <x:v>0</x:v>
      </x:c>
      <x:c r="N11" s="48" t="n">
        <x:v>0</x:v>
      </x:c>
      <x:c r="O11" s="51" t="n">
        <x:v>0</x:v>
      </x:c>
      <x:c r="P11" s="51" t="n">
        <x:v>0</x:v>
      </x:c>
      <x:c r="Q11" s="51" t="n">
        <x:v>15</x:v>
      </x:c>
      <x:c r="R11" s="52" t="n">
        <x:f>IF(COUNTA(Q11)=0,"",MAX(0,K11-L11-O11-P11))</x:f>
        <x:v>15</x:v>
      </x:c>
      <x:c r="S11" s="52" t="n">
        <x:f>IF(COUNTA(K11)=0,"",K11-J11)</x:f>
        <x:v>0</x:v>
      </x:c>
      <x:c r="T11" s="52" t="n">
        <x:f>IF(COUNTA(L11)=0,"",L11-M11)</x:f>
        <x:v>0</x:v>
      </x:c>
      <x:c r="U11" s="52" t="n">
        <x:f>IF(COUNTA(Q11)=0,"",Q11-R11)</x:f>
        <x:v>0</x:v>
      </x:c>
      <x:c r="V11" s="49" t="str">
        <x:f>IF(COUNTA(F11)=0,"입사일 없음",IF(COUNTA(Q11)=0,"잔액 미생성",IF(OR(IF(COUNTA(S11)=0,FALSE,ABS(S11)&gt;0.01),IF(COUNTA(T11)=0,FALSE,ABS(T11)&gt;0.01),IF(COUNTA(U11)=0,FALSE,ABS(U11)&gt;0.01)),"확인 필요","정상")))</x:f>
        <x:v>정상</x:v>
      </x:c>
      <x:c r="W11" s="48" t="n">
        <x:v>3</x:v>
      </x:c>
      <x:c r="X11" s="49" t="str">
        <x:v>연차(부여) 3건</x:v>
      </x:c>
    </x:row>
    <x:row r="12">
      <x:c r="A12" s="49" t="str">
        <x:v>4796a0b0-f593-47a5-82e0-8db8f036d546</x:v>
      </x:c>
      <x:c r="B12" s="49" t="str">
        <x:v>SY INC.</x:v>
      </x:c>
      <x:c r="C12" s="49" t="str">
        <x:v>44</x:v>
      </x:c>
      <x:c r="D12" s="49" t="str">
        <x:v>이나림</x:v>
      </x:c>
      <x:c r="E12" s="49" t="str">
        <x:v>재직</x:v>
      </x:c>
      <x:c r="F12" s="47" t="n">
        <x:v>45973</x:v>
      </x:c>
      <x:c r="G12" s="48" t="n">
        <x:f>IF(F12="","",MAX(0,(YEAR('요약'!$B$3)-YEAR(F12))*12+MONTH('요약'!$B$3)-MONTH(F12)-IF(DAY('요약'!$B$3)&lt;DAY(F12),1,0)))</x:f>
        <x:v>8</x:v>
      </x:c>
      <x:c r="H12" s="47" t="n">
        <x:f>IF(F12="","",DATE(YEAR('요약'!$B$3)-IF(DATE(YEAR('요약'!$B$3),MONTH(F12),DAY(F12))&gt;'요약'!$B$3,1,0),MONTH(F12),DAY(F12)))</x:f>
        <x:v>45973</x:v>
      </x:c>
      <x:c r="I12" s="47" t="n">
        <x:f>IF(H12="","",DATE(YEAR(H12)+1,MONTH(H12),DAY(H12))-1)</x:f>
        <x:v>46337</x:v>
      </x:c>
      <x:c r="J12" s="50" t="n">
        <x:f>IF(F12="","",IF(G12&lt;12,MIN(11,G12),MIN(25,15+INT((G12-12)/24))))</x:f>
        <x:v>8</x:v>
      </x:c>
      <x:c r="K12" s="51" t="n">
        <x:v>8</x:v>
      </x:c>
      <x:c r="L12" s="51" t="n">
        <x:v>6.5</x:v>
      </x:c>
      <x:c r="M12" s="48" t="n">
        <x:f>SUMIFS('사용 원장'!$J$4:$J$302,'사용 원장'!$A$4:$A$302,A12,'사용 원장'!$E$4:$E$302,"&gt;="&amp;H12,'사용 원장'!$E$4:$E$302,"&lt;="&amp;I12)</x:f>
        <x:v>6.5</x:v>
      </x:c>
      <x:c r="N12" s="48" t="n">
        <x:v>6.5</x:v>
      </x:c>
      <x:c r="O12" s="51" t="n">
        <x:v>0</x:v>
      </x:c>
      <x:c r="P12" s="51" t="n">
        <x:v>0</x:v>
      </x:c>
      <x:c r="Q12" s="51" t="n">
        <x:v>1.5</x:v>
      </x:c>
      <x:c r="R12" s="52" t="n">
        <x:f>IF(COUNTA(Q12)=0,"",MAX(0,K12-L12-O12-P12))</x:f>
        <x:v>1.5</x:v>
      </x:c>
      <x:c r="S12" s="52" t="n">
        <x:f>IF(COUNTA(K12)=0,"",K12-J12)</x:f>
        <x:v>0</x:v>
      </x:c>
      <x:c r="T12" s="52" t="n">
        <x:f>IF(COUNTA(L12)=0,"",L12-M12)</x:f>
        <x:v>0</x:v>
      </x:c>
      <x:c r="U12" s="52" t="n">
        <x:f>IF(COUNTA(Q12)=0,"",Q12-R12)</x:f>
        <x:v>0</x:v>
      </x:c>
      <x:c r="V12" s="49" t="str">
        <x:f>IF(COUNTA(F12)=0,"입사일 없음",IF(COUNTA(Q12)=0,"잔액 미생성",IF(OR(IF(COUNTA(S12)=0,FALSE,ABS(S12)&gt;0.01),IF(COUNTA(T12)=0,FALSE,ABS(T12)&gt;0.01),IF(COUNTA(U12)=0,FALSE,ABS(U12)&gt;0.01)),"확인 필요","정상")))</x:f>
        <x:v>정상</x:v>
      </x:c>
      <x:c r="W12" s="48" t="n">
        <x:v>0</x:v>
      </x:c>
      <x:c r="X12" s="49" t="str"/>
    </x:row>
    <x:row r="13">
      <x:c r="A13" s="49" t="str">
        <x:v>6dfea878-90a4-4a9e-9821-e08ba71dcaef</x:v>
      </x:c>
      <x:c r="B13" s="49" t="str">
        <x:v>SY INC.</x:v>
      </x:c>
      <x:c r="C13" s="49" t="str">
        <x:v>70</x:v>
      </x:c>
      <x:c r="D13" s="49" t="str">
        <x:v>이미영</x:v>
      </x:c>
      <x:c r="E13" s="49" t="str">
        <x:v>재직</x:v>
      </x:c>
      <x:c r="F13" s="47" t="n">
        <x:v>46174</x:v>
      </x:c>
      <x:c r="G13" s="48" t="n">
        <x:f>IF(F13="","",MAX(0,(YEAR('요약'!$B$3)-YEAR(F13))*12+MONTH('요약'!$B$3)-MONTH(F13)-IF(DAY('요약'!$B$3)&lt;DAY(F13),1,0)))</x:f>
        <x:v>1</x:v>
      </x:c>
      <x:c r="H13" s="47" t="n">
        <x:f>IF(F13="","",DATE(YEAR('요약'!$B$3)-IF(DATE(YEAR('요약'!$B$3),MONTH(F13),DAY(F13))&gt;'요약'!$B$3,1,0),MONTH(F13),DAY(F13)))</x:f>
        <x:v>46174</x:v>
      </x:c>
      <x:c r="I13" s="47" t="n">
        <x:f>IF(H13="","",DATE(YEAR(H13)+1,MONTH(H13),DAY(H13))-1)</x:f>
        <x:v>46538</x:v>
      </x:c>
      <x:c r="J13" s="50" t="n">
        <x:f>IF(F13="","",IF(G13&lt;12,MIN(11,G13),MIN(25,15+INT((G13-12)/24))))</x:f>
        <x:v>1</x:v>
      </x:c>
      <x:c r="K13" s="51" t="n">
        <x:v>1</x:v>
      </x:c>
      <x:c r="L13" s="51" t="n">
        <x:v>0</x:v>
      </x:c>
      <x:c r="M13" s="48" t="n">
        <x:f>SUMIFS('사용 원장'!$J$4:$J$302,'사용 원장'!$A$4:$A$302,A13,'사용 원장'!$E$4:$E$302,"&gt;="&amp;H13,'사용 원장'!$E$4:$E$302,"&lt;="&amp;I13)</x:f>
        <x:v>0</x:v>
      </x:c>
      <x:c r="N13" s="48" t="n">
        <x:v>0</x:v>
      </x:c>
      <x:c r="O13" s="51" t="n">
        <x:v>0</x:v>
      </x:c>
      <x:c r="P13" s="51" t="n">
        <x:v>0</x:v>
      </x:c>
      <x:c r="Q13" s="51" t="n">
        <x:v>1</x:v>
      </x:c>
      <x:c r="R13" s="52" t="n">
        <x:f>IF(COUNTA(Q13)=0,"",MAX(0,K13-L13-O13-P13))</x:f>
        <x:v>1</x:v>
      </x:c>
      <x:c r="S13" s="52" t="n">
        <x:f>IF(COUNTA(K13)=0,"",K13-J13)</x:f>
        <x:v>0</x:v>
      </x:c>
      <x:c r="T13" s="52" t="n">
        <x:f>IF(COUNTA(L13)=0,"",L13-M13)</x:f>
        <x:v>0</x:v>
      </x:c>
      <x:c r="U13" s="52" t="n">
        <x:f>IF(COUNTA(Q13)=0,"",Q13-R13)</x:f>
        <x:v>0</x:v>
      </x:c>
      <x:c r="V13" s="49" t="str">
        <x:f>IF(COUNTA(F13)=0,"입사일 없음",IF(COUNTA(Q13)=0,"잔액 미생성",IF(OR(IF(COUNTA(S13)=0,FALSE,ABS(S13)&gt;0.01),IF(COUNTA(T13)=0,FALSE,ABS(T13)&gt;0.01),IF(COUNTA(U13)=0,FALSE,ABS(U13)&gt;0.01)),"확인 필요","정상")))</x:f>
        <x:v>정상</x:v>
      </x:c>
      <x:c r="W13" s="48" t="n">
        <x:v>0</x:v>
      </x:c>
      <x:c r="X13" s="49" t="str"/>
    </x:row>
    <x:row r="14">
      <x:c r="A14" s="49" t="str">
        <x:v>5fcfae0e-9972-46d6-b173-523710e6a757</x:v>
      </x:c>
      <x:c r="B14" s="49" t="str">
        <x:v>SY INC.</x:v>
      </x:c>
      <x:c r="C14" s="49" t="str">
        <x:v>48</x:v>
      </x:c>
      <x:c r="D14" s="49" t="str">
        <x:v>임귀섭</x:v>
      </x:c>
      <x:c r="E14" s="49" t="str">
        <x:v>재직</x:v>
      </x:c>
      <x:c r="F14" s="47" t="n">
        <x:v>45691</x:v>
      </x:c>
      <x:c r="G14" s="48" t="n">
        <x:f>IF(F14="","",MAX(0,(YEAR('요약'!$B$3)-YEAR(F14))*12+MONTH('요약'!$B$3)-MONTH(F14)-IF(DAY('요약'!$B$3)&lt;DAY(F14),1,0)))</x:f>
        <x:v>17</x:v>
      </x:c>
      <x:c r="H14" s="47" t="n">
        <x:f>IF(F14="","",DATE(YEAR('요약'!$B$3)-IF(DATE(YEAR('요약'!$B$3),MONTH(F14),DAY(F14))&gt;'요약'!$B$3,1,0),MONTH(F14),DAY(F14)))</x:f>
        <x:v>46056</x:v>
      </x:c>
      <x:c r="I14" s="47" t="n">
        <x:f>IF(H14="","",DATE(YEAR(H14)+1,MONTH(H14),DAY(H14))-1)</x:f>
        <x:v>46420</x:v>
      </x:c>
      <x:c r="J14" s="50" t="n">
        <x:f>IF(F14="","",IF(G14&lt;12,MIN(11,G14),MIN(25,15+INT((G14-12)/24))))</x:f>
        <x:v>15</x:v>
      </x:c>
      <x:c r="K14" s="51" t="n">
        <x:v>15</x:v>
      </x:c>
      <x:c r="L14" s="51" t="n">
        <x:v>5</x:v>
      </x:c>
      <x:c r="M14" s="48" t="n">
        <x:f>SUMIFS('사용 원장'!$J$4:$J$302,'사용 원장'!$A$4:$A$302,A14,'사용 원장'!$E$4:$E$302,"&gt;="&amp;H14,'사용 원장'!$E$4:$E$302,"&lt;="&amp;I14)</x:f>
        <x:v>5</x:v>
      </x:c>
      <x:c r="N14" s="48" t="n">
        <x:v>5</x:v>
      </x:c>
      <x:c r="O14" s="51" t="n">
        <x:v>0</x:v>
      </x:c>
      <x:c r="P14" s="51" t="n">
        <x:v>0</x:v>
      </x:c>
      <x:c r="Q14" s="51" t="n">
        <x:v>10</x:v>
      </x:c>
      <x:c r="R14" s="52" t="n">
        <x:f>IF(COUNTA(Q14)=0,"",MAX(0,K14-L14-O14-P14))</x:f>
        <x:v>10</x:v>
      </x:c>
      <x:c r="S14" s="52" t="n">
        <x:f>IF(COUNTA(K14)=0,"",K14-J14)</x:f>
        <x:v>0</x:v>
      </x:c>
      <x:c r="T14" s="52" t="n">
        <x:f>IF(COUNTA(L14)=0,"",L14-M14)</x:f>
        <x:v>0</x:v>
      </x:c>
      <x:c r="U14" s="52" t="n">
        <x:f>IF(COUNTA(Q14)=0,"",Q14-R14)</x:f>
        <x:v>0</x:v>
      </x:c>
      <x:c r="V14" s="49" t="str">
        <x:f>IF(COUNTA(F14)=0,"입사일 없음",IF(COUNTA(Q14)=0,"잔액 미생성",IF(OR(IF(COUNTA(S14)=0,FALSE,ABS(S14)&gt;0.01),IF(COUNTA(T14)=0,FALSE,ABS(T14)&gt;0.01),IF(COUNTA(U14)=0,FALSE,ABS(U14)&gt;0.01)),"확인 필요","정상")))</x:f>
        <x:v>정상</x:v>
      </x:c>
      <x:c r="W14" s="48" t="n">
        <x:v>0</x:v>
      </x:c>
      <x:c r="X14" s="49" t="str"/>
    </x:row>
    <x:row r="15">
      <x:c r="A15" s="49" t="str">
        <x:v>82d257b9-e447-4b52-9dbf-78b395ab05a7</x:v>
      </x:c>
      <x:c r="B15" s="49" t="str">
        <x:v>박철홍정형외과</x:v>
      </x:c>
      <x:c r="C15" s="49" t="str">
        <x:v>75</x:v>
      </x:c>
      <x:c r="D15" s="49" t="str">
        <x:v>ㅇㄹㄴㅇㄻㄴㅇㄹ</x:v>
      </x:c>
      <x:c r="E15" s="49" t="str">
        <x:v>재직</x:v>
      </x:c>
      <x:c r="F15" s="47" t="n">
        <x:v>46226</x:v>
      </x:c>
      <x:c r="G15" s="48" t="n">
        <x:f>IF(F15="","",MAX(0,(YEAR('요약'!$B$3)-YEAR(F15))*12+MONTH('요약'!$B$3)-MONTH(F15)-IF(DAY('요약'!$B$3)&lt;DAY(F15),1,0)))</x:f>
        <x:v>0</x:v>
      </x:c>
      <x:c r="H15" s="47" t="n">
        <x:f>IF(F15="","",DATE(YEAR('요약'!$B$3)-IF(DATE(YEAR('요약'!$B$3),MONTH(F15),DAY(F15))&gt;'요약'!$B$3,1,0),MONTH(F15),DAY(F15)))</x:f>
        <x:v>46226</x:v>
      </x:c>
      <x:c r="I15" s="47" t="n">
        <x:f>IF(H15="","",DATE(YEAR(H15)+1,MONTH(H15),DAY(H15))-1)</x:f>
        <x:v>46590</x:v>
      </x:c>
      <x:c r="J15" s="50" t="n">
        <x:f>IF(F15="","",IF(G15&lt;12,MIN(11,G15),MIN(25,15+INT((G15-12)/24))))</x:f>
        <x:v>0</x:v>
      </x:c>
      <x:c r="K15" s="51" t="n">
        <x:v>0</x:v>
      </x:c>
      <x:c r="L15" s="51" t="n">
        <x:v>0</x:v>
      </x:c>
      <x:c r="M15" s="48" t="n">
        <x:f>SUMIFS('사용 원장'!$J$4:$J$302,'사용 원장'!$A$4:$A$302,A15,'사용 원장'!$E$4:$E$302,"&gt;="&amp;H15,'사용 원장'!$E$4:$E$302,"&lt;="&amp;I15)</x:f>
        <x:v>0</x:v>
      </x:c>
      <x:c r="N15" s="48" t="n">
        <x:v>0</x:v>
      </x:c>
      <x:c r="O15" s="51" t="n">
        <x:v>0</x:v>
      </x:c>
      <x:c r="P15" s="51" t="n">
        <x:v>0</x:v>
      </x:c>
      <x:c r="Q15" s="51" t="n">
        <x:v>0</x:v>
      </x:c>
      <x:c r="R15" s="52" t="n">
        <x:f>IF(COUNTA(Q15)=0,"",MAX(0,K15-L15-O15-P15))</x:f>
        <x:v>0</x:v>
      </x:c>
      <x:c r="S15" s="52" t="n">
        <x:f>IF(COUNTA(K15)=0,"",K15-J15)</x:f>
        <x:v>0</x:v>
      </x:c>
      <x:c r="T15" s="52" t="n">
        <x:f>IF(COUNTA(L15)=0,"",L15-M15)</x:f>
        <x:v>0</x:v>
      </x:c>
      <x:c r="U15" s="52" t="n">
        <x:f>IF(COUNTA(Q15)=0,"",Q15-R15)</x:f>
        <x:v>0</x:v>
      </x:c>
      <x:c r="V15" s="49" t="str">
        <x:f>IF(COUNTA(F15)=0,"입사일 없음",IF(COUNTA(Q15)=0,"잔액 미생성",IF(OR(IF(COUNTA(S15)=0,FALSE,ABS(S15)&gt;0.01),IF(COUNTA(T15)=0,FALSE,ABS(T15)&gt;0.01),IF(COUNTA(U15)=0,FALSE,ABS(U15)&gt;0.01)),"확인 필요","정상")))</x:f>
        <x:v>정상</x:v>
      </x:c>
      <x:c r="W15" s="48" t="n">
        <x:v>0</x:v>
      </x:c>
      <x:c r="X15" s="49" t="str">
        <x:v>발생원장 없음</x:v>
      </x:c>
    </x:row>
    <x:row r="16">
      <x:c r="A16" s="49" t="str">
        <x:v>99165dcd-4622-4557-9ac8-6878632ee051</x:v>
      </x:c>
      <x:c r="B16" s="49" t="str">
        <x:v>박철홍정형외과</x:v>
      </x:c>
      <x:c r="C16" s="49" t="str">
        <x:v>58</x:v>
      </x:c>
      <x:c r="D16" s="49" t="str">
        <x:v>김규빈</x:v>
      </x:c>
      <x:c r="E16" s="49" t="str">
        <x:v>재직</x:v>
      </x:c>
      <x:c r="F16" s="47" t="n">
        <x:v>46104</x:v>
      </x:c>
      <x:c r="G16" s="48" t="n">
        <x:f>IF(F16="","",MAX(0,(YEAR('요약'!$B$3)-YEAR(F16))*12+MONTH('요약'!$B$3)-MONTH(F16)-IF(DAY('요약'!$B$3)&lt;DAY(F16),1,0)))</x:f>
        <x:v>4</x:v>
      </x:c>
      <x:c r="H16" s="47" t="n">
        <x:f>IF(F16="","",DATE(YEAR('요약'!$B$3)-IF(DATE(YEAR('요약'!$B$3),MONTH(F16),DAY(F16))&gt;'요약'!$B$3,1,0),MONTH(F16),DAY(F16)))</x:f>
        <x:v>46104</x:v>
      </x:c>
      <x:c r="I16" s="47" t="n">
        <x:f>IF(H16="","",DATE(YEAR(H16)+1,MONTH(H16),DAY(H16))-1)</x:f>
        <x:v>46468</x:v>
      </x:c>
      <x:c r="J16" s="50" t="n">
        <x:f>IF(F16="","",IF(G16&lt;12,MIN(11,G16),MIN(25,15+INT((G16-12)/24))))</x:f>
        <x:v>4</x:v>
      </x:c>
      <x:c r="K16" s="51" t="n">
        <x:v>3</x:v>
      </x:c>
      <x:c r="L16" s="51" t="n">
        <x:v>2.5</x:v>
      </x:c>
      <x:c r="M16" s="48" t="n">
        <x:f>SUMIFS('사용 원장'!$J$4:$J$302,'사용 원장'!$A$4:$A$302,A16,'사용 원장'!$E$4:$E$302,"&gt;="&amp;H16,'사용 원장'!$E$4:$E$302,"&lt;="&amp;I16)</x:f>
        <x:v>2.5</x:v>
      </x:c>
      <x:c r="N16" s="48" t="n">
        <x:v>2.5</x:v>
      </x:c>
      <x:c r="O16" s="51" t="n">
        <x:v>0</x:v>
      </x:c>
      <x:c r="P16" s="51" t="n">
        <x:v>0</x:v>
      </x:c>
      <x:c r="Q16" s="51" t="n">
        <x:v>0.5</x:v>
      </x:c>
      <x:c r="R16" s="52" t="n">
        <x:f>IF(COUNTA(Q16)=0,"",MAX(0,K16-L16-O16-P16))</x:f>
        <x:v>0.5</x:v>
      </x:c>
      <x:c r="S16" s="52" t="n">
        <x:f>IF(COUNTA(K16)=0,"",K16-J16)</x:f>
        <x:v>-1</x:v>
      </x:c>
      <x:c r="T16" s="52" t="n">
        <x:f>IF(COUNTA(L16)=0,"",L16-M16)</x:f>
        <x:v>0</x:v>
      </x:c>
      <x:c r="U16" s="52" t="n">
        <x:f>IF(COUNTA(Q16)=0,"",Q16-R16)</x:f>
        <x:v>0</x:v>
      </x:c>
      <x:c r="V16" s="49" t="str">
        <x:f>IF(COUNTA(F16)=0,"입사일 없음",IF(COUNTA(Q16)=0,"잔액 미생성",IF(OR(IF(COUNTA(S16)=0,FALSE,ABS(S16)&gt;0.01),IF(COUNTA(T16)=0,FALSE,ABS(T16)&gt;0.01),IF(COUNTA(U16)=0,FALSE,ABS(U16)&gt;0.01)),"확인 필요","정상")))</x:f>
        <x:v>확인 필요</x:v>
      </x:c>
      <x:c r="W16" s="48" t="n">
        <x:v>0</x:v>
      </x:c>
      <x:c r="X16" s="49" t="str"/>
    </x:row>
    <x:row r="17">
      <x:c r="A17" s="49" t="str">
        <x:v>2b9daf05-c892-43db-b1fa-af60b2a51eb2</x:v>
      </x:c>
      <x:c r="B17" s="49" t="str">
        <x:v>박철홍정형외과</x:v>
      </x:c>
      <x:c r="C17" s="49" t="str">
        <x:v>39</x:v>
      </x:c>
      <x:c r="D17" s="49" t="str">
        <x:v>김민정</x:v>
      </x:c>
      <x:c r="E17" s="49" t="str">
        <x:v>재직</x:v>
      </x:c>
      <x:c r="F17" s="47" t="n">
        <x:v>45975</x:v>
      </x:c>
      <x:c r="G17" s="48" t="n">
        <x:f>IF(F17="","",MAX(0,(YEAR('요약'!$B$3)-YEAR(F17))*12+MONTH('요약'!$B$3)-MONTH(F17)-IF(DAY('요약'!$B$3)&lt;DAY(F17),1,0)))</x:f>
        <x:v>8</x:v>
      </x:c>
      <x:c r="H17" s="47" t="n">
        <x:f>IF(F17="","",DATE(YEAR('요약'!$B$3)-IF(DATE(YEAR('요약'!$B$3),MONTH(F17),DAY(F17))&gt;'요약'!$B$3,1,0),MONTH(F17),DAY(F17)))</x:f>
        <x:v>45975</x:v>
      </x:c>
      <x:c r="I17" s="47" t="n">
        <x:f>IF(H17="","",DATE(YEAR(H17)+1,MONTH(H17),DAY(H17))-1)</x:f>
        <x:v>46339</x:v>
      </x:c>
      <x:c r="J17" s="50" t="n">
        <x:f>IF(F17="","",IF(G17&lt;12,MIN(11,G17),MIN(25,15+INT((G17-12)/24))))</x:f>
        <x:v>8</x:v>
      </x:c>
      <x:c r="K17" s="51" t="n">
        <x:v>8</x:v>
      </x:c>
      <x:c r="L17" s="51" t="n">
        <x:v>2</x:v>
      </x:c>
      <x:c r="M17" s="48" t="n">
        <x:f>SUMIFS('사용 원장'!$J$4:$J$302,'사용 원장'!$A$4:$A$302,A17,'사용 원장'!$E$4:$E$302,"&gt;="&amp;H17,'사용 원장'!$E$4:$E$302,"&lt;="&amp;I17)</x:f>
        <x:v>2</x:v>
      </x:c>
      <x:c r="N17" s="48" t="n">
        <x:v>2</x:v>
      </x:c>
      <x:c r="O17" s="51" t="n">
        <x:v>0</x:v>
      </x:c>
      <x:c r="P17" s="51" t="n">
        <x:v>0</x:v>
      </x:c>
      <x:c r="Q17" s="51" t="n">
        <x:v>6</x:v>
      </x:c>
      <x:c r="R17" s="52" t="n">
        <x:f>IF(COUNTA(Q17)=0,"",MAX(0,K17-L17-O17-P17))</x:f>
        <x:v>6</x:v>
      </x:c>
      <x:c r="S17" s="52" t="n">
        <x:f>IF(COUNTA(K17)=0,"",K17-J17)</x:f>
        <x:v>0</x:v>
      </x:c>
      <x:c r="T17" s="52" t="n">
        <x:f>IF(COUNTA(L17)=0,"",L17-M17)</x:f>
        <x:v>0</x:v>
      </x:c>
      <x:c r="U17" s="52" t="n">
        <x:f>IF(COUNTA(Q17)=0,"",Q17-R17)</x:f>
        <x:v>0</x:v>
      </x:c>
      <x:c r="V17" s="49" t="str">
        <x:f>IF(COUNTA(F17)=0,"입사일 없음",IF(COUNTA(Q17)=0,"잔액 미생성",IF(OR(IF(COUNTA(S17)=0,FALSE,ABS(S17)&gt;0.01),IF(COUNTA(T17)=0,FALSE,ABS(T17)&gt;0.01),IF(COUNTA(U17)=0,FALSE,ABS(U17)&gt;0.01)),"확인 필요","정상")))</x:f>
        <x:v>정상</x:v>
      </x:c>
      <x:c r="W17" s="48" t="n">
        <x:v>0</x:v>
      </x:c>
      <x:c r="X17" s="49" t="str"/>
    </x:row>
    <x:row r="18">
      <x:c r="A18" s="49" t="str">
        <x:v>fed2b60b-61eb-41a5-b35d-8c25b367fb45</x:v>
      </x:c>
      <x:c r="B18" s="49" t="str">
        <x:v>박철홍정형외과</x:v>
      </x:c>
      <x:c r="C18" s="49" t="str">
        <x:v>16</x:v>
      </x:c>
      <x:c r="D18" s="49" t="str">
        <x:v>김수지</x:v>
      </x:c>
      <x:c r="E18" s="49" t="str">
        <x:v>재직</x:v>
      </x:c>
      <x:c r="F18" s="47" t="n">
        <x:v>45189</x:v>
      </x:c>
      <x:c r="G18" s="48" t="n">
        <x:f>IF(F18="","",MAX(0,(YEAR('요약'!$B$3)-YEAR(F18))*12+MONTH('요약'!$B$3)-MONTH(F18)-IF(DAY('요약'!$B$3)&lt;DAY(F18),1,0)))</x:f>
        <x:v>34</x:v>
      </x:c>
      <x:c r="H18" s="47" t="n">
        <x:f>IF(F18="","",DATE(YEAR('요약'!$B$3)-IF(DATE(YEAR('요약'!$B$3),MONTH(F18),DAY(F18))&gt;'요약'!$B$3,1,0),MONTH(F18),DAY(F18)))</x:f>
        <x:v>45920</x:v>
      </x:c>
      <x:c r="I18" s="47" t="n">
        <x:f>IF(H18="","",DATE(YEAR(H18)+1,MONTH(H18),DAY(H18))-1)</x:f>
        <x:v>46284</x:v>
      </x:c>
      <x:c r="J18" s="50" t="n">
        <x:f>IF(F18="","",IF(G18&lt;12,MIN(11,G18),MIN(25,15+INT((G18-12)/24))))</x:f>
        <x:v>15</x:v>
      </x:c>
      <x:c r="K18" s="51" t="n">
        <x:v>15</x:v>
      </x:c>
      <x:c r="L18" s="51" t="n">
        <x:v>6</x:v>
      </x:c>
      <x:c r="M18" s="48" t="n">
        <x:f>SUMIFS('사용 원장'!$J$4:$J$302,'사용 원장'!$A$4:$A$302,A18,'사용 원장'!$E$4:$E$302,"&gt;="&amp;H18,'사용 원장'!$E$4:$E$302,"&lt;="&amp;I18)</x:f>
        <x:v>6</x:v>
      </x:c>
      <x:c r="N18" s="48" t="n">
        <x:v>3</x:v>
      </x:c>
      <x:c r="O18" s="51" t="n">
        <x:v>0</x:v>
      </x:c>
      <x:c r="P18" s="51" t="n">
        <x:v>0</x:v>
      </x:c>
      <x:c r="Q18" s="51" t="n">
        <x:v>9</x:v>
      </x:c>
      <x:c r="R18" s="52" t="n">
        <x:f>IF(COUNTA(Q18)=0,"",MAX(0,K18-L18-O18-P18))</x:f>
        <x:v>9</x:v>
      </x:c>
      <x:c r="S18" s="52" t="n">
        <x:f>IF(COUNTA(K18)=0,"",K18-J18)</x:f>
        <x:v>0</x:v>
      </x:c>
      <x:c r="T18" s="52" t="n">
        <x:f>IF(COUNTA(L18)=0,"",L18-M18)</x:f>
        <x:v>0</x:v>
      </x:c>
      <x:c r="U18" s="52" t="n">
        <x:f>IF(COUNTA(Q18)=0,"",Q18-R18)</x:f>
        <x:v>0</x:v>
      </x:c>
      <x:c r="V18" s="49" t="str">
        <x:f>IF(COUNTA(F18)=0,"입사일 없음",IF(COUNTA(Q18)=0,"잔액 미생성",IF(OR(IF(COUNTA(S18)=0,FALSE,ABS(S18)&gt;0.01),IF(COUNTA(T18)=0,FALSE,ABS(T18)&gt;0.01),IF(COUNTA(U18)=0,FALSE,ABS(U18)&gt;0.01)),"확인 필요","정상")))</x:f>
        <x:v>정상</x:v>
      </x:c>
      <x:c r="W18" s="48" t="n">
        <x:v>0</x:v>
      </x:c>
      <x:c r="X18" s="49" t="str"/>
    </x:row>
    <x:row r="19">
      <x:c r="A19" s="49" t="str">
        <x:v>36481ba4-e1ad-457b-b264-bd3fbe2f3637</x:v>
      </x:c>
      <x:c r="B19" s="49" t="str">
        <x:v>박철홍정형외과</x:v>
      </x:c>
      <x:c r="C19" s="49" t="str">
        <x:v>26</x:v>
      </x:c>
      <x:c r="D19" s="49" t="str">
        <x:v>김영대</x:v>
      </x:c>
      <x:c r="E19" s="49" t="str">
        <x:v>재직</x:v>
      </x:c>
      <x:c r="F19" s="47" t="n">
        <x:v>45733</x:v>
      </x:c>
      <x:c r="G19" s="48" t="n">
        <x:f>IF(F19="","",MAX(0,(YEAR('요약'!$B$3)-YEAR(F19))*12+MONTH('요약'!$B$3)-MONTH(F19)-IF(DAY('요약'!$B$3)&lt;DAY(F19),1,0)))</x:f>
        <x:v>16</x:v>
      </x:c>
      <x:c r="H19" s="47" t="n">
        <x:f>IF(F19="","",DATE(YEAR('요약'!$B$3)-IF(DATE(YEAR('요약'!$B$3),MONTH(F19),DAY(F19))&gt;'요약'!$B$3,1,0),MONTH(F19),DAY(F19)))</x:f>
        <x:v>46098</x:v>
      </x:c>
      <x:c r="I19" s="47" t="n">
        <x:f>IF(H19="","",DATE(YEAR(H19)+1,MONTH(H19),DAY(H19))-1)</x:f>
        <x:v>46462</x:v>
      </x:c>
      <x:c r="J19" s="50" t="n">
        <x:f>IF(F19="","",IF(G19&lt;12,MIN(11,G19),MIN(25,15+INT((G19-12)/24))))</x:f>
        <x:v>15</x:v>
      </x:c>
      <x:c r="K19" s="51" t="n">
        <x:v>15</x:v>
      </x:c>
      <x:c r="L19" s="51" t="n">
        <x:v>5</x:v>
      </x:c>
      <x:c r="M19" s="48" t="n">
        <x:f>SUMIFS('사용 원장'!$J$4:$J$302,'사용 원장'!$A$4:$A$302,A19,'사용 원장'!$E$4:$E$302,"&gt;="&amp;H19,'사용 원장'!$E$4:$E$302,"&lt;="&amp;I19)</x:f>
        <x:v>5</x:v>
      </x:c>
      <x:c r="N19" s="48" t="n">
        <x:v>9</x:v>
      </x:c>
      <x:c r="O19" s="51" t="n">
        <x:v>0</x:v>
      </x:c>
      <x:c r="P19" s="51" t="n">
        <x:v>0</x:v>
      </x:c>
      <x:c r="Q19" s="51" t="n">
        <x:v>6</x:v>
      </x:c>
      <x:c r="R19" s="52" t="n">
        <x:f>IF(COUNTA(Q19)=0,"",MAX(0,K19-L19-O19-P19))</x:f>
        <x:v>10</x:v>
      </x:c>
      <x:c r="S19" s="52" t="n">
        <x:f>IF(COUNTA(K19)=0,"",K19-J19)</x:f>
        <x:v>0</x:v>
      </x:c>
      <x:c r="T19" s="52" t="n">
        <x:f>IF(COUNTA(L19)=0,"",L19-M19)</x:f>
        <x:v>0</x:v>
      </x:c>
      <x:c r="U19" s="52" t="n">
        <x:f>IF(COUNTA(Q19)=0,"",Q19-R19)</x:f>
        <x:v>-4</x:v>
      </x:c>
      <x:c r="V19" s="49" t="str">
        <x:f>IF(COUNTA(F19)=0,"입사일 없음",IF(COUNTA(Q19)=0,"잔액 미생성",IF(OR(IF(COUNTA(S19)=0,FALSE,ABS(S19)&gt;0.01),IF(COUNTA(T19)=0,FALSE,ABS(T19)&gt;0.01),IF(COUNTA(U19)=0,FALSE,ABS(U19)&gt;0.01)),"확인 필요","정상")))</x:f>
        <x:v>확인 필요</x:v>
      </x:c>
      <x:c r="W19" s="48" t="n">
        <x:v>1</x:v>
      </x:c>
      <x:c r="X19" s="49" t="str">
        <x:v>연차(부여) 1건</x:v>
      </x:c>
    </x:row>
    <x:row r="20">
      <x:c r="A20" s="49" t="str">
        <x:v>86c32af1-8e07-4b88-b914-01f6de180a65</x:v>
      </x:c>
      <x:c r="B20" s="49" t="str">
        <x:v>박철홍정형외과</x:v>
      </x:c>
      <x:c r="C20" s="49" t="str">
        <x:v>54</x:v>
      </x:c>
      <x:c r="D20" s="49" t="str">
        <x:v>김재영</x:v>
      </x:c>
      <x:c r="E20" s="49" t="str">
        <x:v>재직</x:v>
      </x:c>
      <x:c r="F20" s="47" t="n">
        <x:v>46099</x:v>
      </x:c>
      <x:c r="G20" s="48" t="n">
        <x:f>IF(F20="","",MAX(0,(YEAR('요약'!$B$3)-YEAR(F20))*12+MONTH('요약'!$B$3)-MONTH(F20)-IF(DAY('요약'!$B$3)&lt;DAY(F20),1,0)))</x:f>
        <x:v>4</x:v>
      </x:c>
      <x:c r="H20" s="47" t="n">
        <x:f>IF(F20="","",DATE(YEAR('요약'!$B$3)-IF(DATE(YEAR('요약'!$B$3),MONTH(F20),DAY(F20))&gt;'요약'!$B$3,1,0),MONTH(F20),DAY(F20)))</x:f>
        <x:v>46099</x:v>
      </x:c>
      <x:c r="I20" s="47" t="n">
        <x:f>IF(H20="","",DATE(YEAR(H20)+1,MONTH(H20),DAY(H20))-1)</x:f>
        <x:v>46463</x:v>
      </x:c>
      <x:c r="J20" s="50" t="n">
        <x:f>IF(F20="","",IF(G20&lt;12,MIN(11,G20),MIN(25,15+INT((G20-12)/24))))</x:f>
        <x:v>4</x:v>
      </x:c>
      <x:c r="K20" s="51" t="n">
        <x:v>3</x:v>
      </x:c>
      <x:c r="L20" s="51" t="n">
        <x:v>1</x:v>
      </x:c>
      <x:c r="M20" s="48" t="n">
        <x:f>SUMIFS('사용 원장'!$J$4:$J$302,'사용 원장'!$A$4:$A$302,A20,'사용 원장'!$E$4:$E$302,"&gt;="&amp;H20,'사용 원장'!$E$4:$E$302,"&lt;="&amp;I20)</x:f>
        <x:v>1</x:v>
      </x:c>
      <x:c r="N20" s="48" t="n">
        <x:v>1</x:v>
      </x:c>
      <x:c r="O20" s="51" t="n">
        <x:v>0</x:v>
      </x:c>
      <x:c r="P20" s="51" t="n">
        <x:v>0</x:v>
      </x:c>
      <x:c r="Q20" s="51" t="n">
        <x:v>2</x:v>
      </x:c>
      <x:c r="R20" s="52" t="n">
        <x:f>IF(COUNTA(Q20)=0,"",MAX(0,K20-L20-O20-P20))</x:f>
        <x:v>2</x:v>
      </x:c>
      <x:c r="S20" s="52" t="n">
        <x:f>IF(COUNTA(K20)=0,"",K20-J20)</x:f>
        <x:v>-1</x:v>
      </x:c>
      <x:c r="T20" s="52" t="n">
        <x:f>IF(COUNTA(L20)=0,"",L20-M20)</x:f>
        <x:v>0</x:v>
      </x:c>
      <x:c r="U20" s="52" t="n">
        <x:f>IF(COUNTA(Q20)=0,"",Q20-R20)</x:f>
        <x:v>0</x:v>
      </x:c>
      <x:c r="V20" s="49" t="str">
        <x:f>IF(COUNTA(F20)=0,"입사일 없음",IF(COUNTA(Q20)=0,"잔액 미생성",IF(OR(IF(COUNTA(S20)=0,FALSE,ABS(S20)&gt;0.01),IF(COUNTA(T20)=0,FALSE,ABS(T20)&gt;0.01),IF(COUNTA(U20)=0,FALSE,ABS(U20)&gt;0.01)),"확인 필요","정상")))</x:f>
        <x:v>확인 필요</x:v>
      </x:c>
      <x:c r="W20" s="48" t="n">
        <x:v>0</x:v>
      </x:c>
      <x:c r="X20" s="49" t="str"/>
    </x:row>
    <x:row r="21">
      <x:c r="A21" s="49" t="str">
        <x:v>5bf3e720-85f2-41db-880e-2324ac47533d</x:v>
      </x:c>
      <x:c r="B21" s="49" t="str">
        <x:v>박철홍정형외과</x:v>
      </x:c>
      <x:c r="C21" s="49" t="str">
        <x:v>59</x:v>
      </x:c>
      <x:c r="D21" s="49" t="str">
        <x:v>김정수</x:v>
      </x:c>
      <x:c r="E21" s="49" t="str">
        <x:v>재직</x:v>
      </x:c>
      <x:c r="F21" s="47" t="n">
        <x:v>46104</x:v>
      </x:c>
      <x:c r="G21" s="48" t="n">
        <x:f>IF(F21="","",MAX(0,(YEAR('요약'!$B$3)-YEAR(F21))*12+MONTH('요약'!$B$3)-MONTH(F21)-IF(DAY('요약'!$B$3)&lt;DAY(F21),1,0)))</x:f>
        <x:v>4</x:v>
      </x:c>
      <x:c r="H21" s="47" t="n">
        <x:f>IF(F21="","",DATE(YEAR('요약'!$B$3)-IF(DATE(YEAR('요약'!$B$3),MONTH(F21),DAY(F21))&gt;'요약'!$B$3,1,0),MONTH(F21),DAY(F21)))</x:f>
        <x:v>46104</x:v>
      </x:c>
      <x:c r="I21" s="47" t="n">
        <x:f>IF(H21="","",DATE(YEAR(H21)+1,MONTH(H21),DAY(H21))-1)</x:f>
        <x:v>46468</x:v>
      </x:c>
      <x:c r="J21" s="50" t="n">
        <x:f>IF(F21="","",IF(G21&lt;12,MIN(11,G21),MIN(25,15+INT((G21-12)/24))))</x:f>
        <x:v>4</x:v>
      </x:c>
      <x:c r="K21" s="51" t="n">
        <x:v>3</x:v>
      </x:c>
      <x:c r="L21" s="51" t="n">
        <x:v>1</x:v>
      </x:c>
      <x:c r="M21" s="48" t="n">
        <x:f>SUMIFS('사용 원장'!$J$4:$J$302,'사용 원장'!$A$4:$A$302,A21,'사용 원장'!$E$4:$E$302,"&gt;="&amp;H21,'사용 원장'!$E$4:$E$302,"&lt;="&amp;I21)</x:f>
        <x:v>1</x:v>
      </x:c>
      <x:c r="N21" s="48" t="n">
        <x:v>1</x:v>
      </x:c>
      <x:c r="O21" s="51" t="n">
        <x:v>0</x:v>
      </x:c>
      <x:c r="P21" s="51" t="n">
        <x:v>0</x:v>
      </x:c>
      <x:c r="Q21" s="51" t="n">
        <x:v>2</x:v>
      </x:c>
      <x:c r="R21" s="52" t="n">
        <x:f>IF(COUNTA(Q21)=0,"",MAX(0,K21-L21-O21-P21))</x:f>
        <x:v>2</x:v>
      </x:c>
      <x:c r="S21" s="52" t="n">
        <x:f>IF(COUNTA(K21)=0,"",K21-J21)</x:f>
        <x:v>-1</x:v>
      </x:c>
      <x:c r="T21" s="52" t="n">
        <x:f>IF(COUNTA(L21)=0,"",L21-M21)</x:f>
        <x:v>0</x:v>
      </x:c>
      <x:c r="U21" s="52" t="n">
        <x:f>IF(COUNTA(Q21)=0,"",Q21-R21)</x:f>
        <x:v>0</x:v>
      </x:c>
      <x:c r="V21" s="49" t="str">
        <x:f>IF(COUNTA(F21)=0,"입사일 없음",IF(COUNTA(Q21)=0,"잔액 미생성",IF(OR(IF(COUNTA(S21)=0,FALSE,ABS(S21)&gt;0.01),IF(COUNTA(T21)=0,FALSE,ABS(T21)&gt;0.01),IF(COUNTA(U21)=0,FALSE,ABS(U21)&gt;0.01)),"확인 필요","정상")))</x:f>
        <x:v>확인 필요</x:v>
      </x:c>
      <x:c r="W21" s="48" t="n">
        <x:v>0</x:v>
      </x:c>
      <x:c r="X21" s="49" t="str"/>
    </x:row>
    <x:row r="22">
      <x:c r="A22" s="49" t="str">
        <x:v>420a6c33-1c5e-4e6e-806a-fc5db10e6ca9</x:v>
      </x:c>
      <x:c r="B22" s="49" t="str">
        <x:v>박철홍정형외과</x:v>
      </x:c>
      <x:c r="C22" s="49" t="str">
        <x:v>3</x:v>
      </x:c>
      <x:c r="D22" s="49" t="str">
        <x:v>김지오</x:v>
      </x:c>
      <x:c r="E22" s="49" t="str">
        <x:v>재직</x:v>
      </x:c>
      <x:c r="F22" s="47" t="n">
        <x:v>45712</x:v>
      </x:c>
      <x:c r="G22" s="48" t="n">
        <x:f>IF(F22="","",MAX(0,(YEAR('요약'!$B$3)-YEAR(F22))*12+MONTH('요약'!$B$3)-MONTH(F22)-IF(DAY('요약'!$B$3)&lt;DAY(F22),1,0)))</x:f>
        <x:v>16</x:v>
      </x:c>
      <x:c r="H22" s="47" t="n">
        <x:f>IF(F22="","",DATE(YEAR('요약'!$B$3)-IF(DATE(YEAR('요약'!$B$3),MONTH(F22),DAY(F22))&gt;'요약'!$B$3,1,0),MONTH(F22),DAY(F22)))</x:f>
        <x:v>46077</x:v>
      </x:c>
      <x:c r="I22" s="47" t="n">
        <x:f>IF(H22="","",DATE(YEAR(H22)+1,MONTH(H22),DAY(H22))-1)</x:f>
        <x:v>46441</x:v>
      </x:c>
      <x:c r="J22" s="50" t="n">
        <x:f>IF(F22="","",IF(G22&lt;12,MIN(11,G22),MIN(25,15+INT((G22-12)/24))))</x:f>
        <x:v>15</x:v>
      </x:c>
      <x:c r="K22" s="51" t="n">
        <x:v>15</x:v>
      </x:c>
      <x:c r="L22" s="51" t="n">
        <x:v>5</x:v>
      </x:c>
      <x:c r="M22" s="48" t="n">
        <x:f>SUMIFS('사용 원장'!$J$4:$J$302,'사용 원장'!$A$4:$A$302,A22,'사용 원장'!$E$4:$E$302,"&gt;="&amp;H22,'사용 원장'!$E$4:$E$302,"&lt;="&amp;I22)</x:f>
        <x:v>5</x:v>
      </x:c>
      <x:c r="N22" s="48" t="n">
        <x:v>11</x:v>
      </x:c>
      <x:c r="O22" s="51" t="n">
        <x:v>0</x:v>
      </x:c>
      <x:c r="P22" s="51" t="n">
        <x:v>0</x:v>
      </x:c>
      <x:c r="Q22" s="51" t="n">
        <x:v>10</x:v>
      </x:c>
      <x:c r="R22" s="52" t="n">
        <x:f>IF(COUNTA(Q22)=0,"",MAX(0,K22-L22-O22-P22))</x:f>
        <x:v>10</x:v>
      </x:c>
      <x:c r="S22" s="52" t="n">
        <x:f>IF(COUNTA(K22)=0,"",K22-J22)</x:f>
        <x:v>0</x:v>
      </x:c>
      <x:c r="T22" s="52" t="n">
        <x:f>IF(COUNTA(L22)=0,"",L22-M22)</x:f>
        <x:v>0</x:v>
      </x:c>
      <x:c r="U22" s="52" t="n">
        <x:f>IF(COUNTA(Q22)=0,"",Q22-R22)</x:f>
        <x:v>0</x:v>
      </x:c>
      <x:c r="V22" s="49" t="str">
        <x:f>IF(COUNTA(F22)=0,"입사일 없음",IF(COUNTA(Q22)=0,"잔액 미생성",IF(OR(IF(COUNTA(S22)=0,FALSE,ABS(S22)&gt;0.01),IF(COUNTA(T22)=0,FALSE,ABS(T22)&gt;0.01),IF(COUNTA(U22)=0,FALSE,ABS(U22)&gt;0.01)),"확인 필요","정상")))</x:f>
        <x:v>정상</x:v>
      </x:c>
      <x:c r="W22" s="48" t="n">
        <x:v>0</x:v>
      </x:c>
      <x:c r="X22" s="49" t="str"/>
    </x:row>
    <x:row r="23">
      <x:c r="A23" s="49" t="str">
        <x:v>dd1bd093-2a9b-4f5d-8538-a28fd124828d</x:v>
      </x:c>
      <x:c r="B23" s="49" t="str">
        <x:v>박철홍정형외과</x:v>
      </x:c>
      <x:c r="C23" s="49" t="str">
        <x:v>38</x:v>
      </x:c>
      <x:c r="D23" s="49" t="str">
        <x:v>박민지</x:v>
      </x:c>
      <x:c r="E23" s="49" t="str">
        <x:v>재직</x:v>
      </x:c>
      <x:c r="F23" s="47" t="n">
        <x:v>45962</x:v>
      </x:c>
      <x:c r="G23" s="48" t="n">
        <x:f>IF(F23="","",MAX(0,(YEAR('요약'!$B$3)-YEAR(F23))*12+MONTH('요약'!$B$3)-MONTH(F23)-IF(DAY('요약'!$B$3)&lt;DAY(F23),1,0)))</x:f>
        <x:v>8</x:v>
      </x:c>
      <x:c r="H23" s="47" t="n">
        <x:f>IF(F23="","",DATE(YEAR('요약'!$B$3)-IF(DATE(YEAR('요약'!$B$3),MONTH(F23),DAY(F23))&gt;'요약'!$B$3,1,0),MONTH(F23),DAY(F23)))</x:f>
        <x:v>45962</x:v>
      </x:c>
      <x:c r="I23" s="47" t="n">
        <x:f>IF(H23="","",DATE(YEAR(H23)+1,MONTH(H23),DAY(H23))-1)</x:f>
        <x:v>46326</x:v>
      </x:c>
      <x:c r="J23" s="50" t="n">
        <x:f>IF(F23="","",IF(G23&lt;12,MIN(11,G23),MIN(25,15+INT((G23-12)/24))))</x:f>
        <x:v>8</x:v>
      </x:c>
      <x:c r="K23" s="51" t="n">
        <x:v>8</x:v>
      </x:c>
      <x:c r="L23" s="51" t="n">
        <x:v>0</x:v>
      </x:c>
      <x:c r="M23" s="48" t="n">
        <x:f>SUMIFS('사용 원장'!$J$4:$J$302,'사용 원장'!$A$4:$A$302,A23,'사용 원장'!$E$4:$E$302,"&gt;="&amp;H23,'사용 원장'!$E$4:$E$302,"&lt;="&amp;I23)</x:f>
        <x:v>0</x:v>
      </x:c>
      <x:c r="N23" s="48" t="n">
        <x:v>0</x:v>
      </x:c>
      <x:c r="O23" s="51" t="n">
        <x:v>0</x:v>
      </x:c>
      <x:c r="P23" s="51" t="n">
        <x:v>0</x:v>
      </x:c>
      <x:c r="Q23" s="51" t="n">
        <x:v>8</x:v>
      </x:c>
      <x:c r="R23" s="52" t="n">
        <x:f>IF(COUNTA(Q23)=0,"",MAX(0,K23-L23-O23-P23))</x:f>
        <x:v>8</x:v>
      </x:c>
      <x:c r="S23" s="52" t="n">
        <x:f>IF(COUNTA(K23)=0,"",K23-J23)</x:f>
        <x:v>0</x:v>
      </x:c>
      <x:c r="T23" s="52" t="n">
        <x:f>IF(COUNTA(L23)=0,"",L23-M23)</x:f>
        <x:v>0</x:v>
      </x:c>
      <x:c r="U23" s="52" t="n">
        <x:f>IF(COUNTA(Q23)=0,"",Q23-R23)</x:f>
        <x:v>0</x:v>
      </x:c>
      <x:c r="V23" s="49" t="str">
        <x:f>IF(COUNTA(F23)=0,"입사일 없음",IF(COUNTA(Q23)=0,"잔액 미생성",IF(OR(IF(COUNTA(S23)=0,FALSE,ABS(S23)&gt;0.01),IF(COUNTA(T23)=0,FALSE,ABS(T23)&gt;0.01),IF(COUNTA(U23)=0,FALSE,ABS(U23)&gt;0.01)),"확인 필요","정상")))</x:f>
        <x:v>정상</x:v>
      </x:c>
      <x:c r="W23" s="48" t="n">
        <x:v>0</x:v>
      </x:c>
      <x:c r="X23" s="49" t="str"/>
    </x:row>
    <x:row r="24">
      <x:c r="A24" s="49" t="str">
        <x:v>6c465694-92bd-4306-8014-2fd436fd21aa</x:v>
      </x:c>
      <x:c r="B24" s="49" t="str">
        <x:v>박철홍정형외과</x:v>
      </x:c>
      <x:c r="C24" s="49" t="str">
        <x:v>41</x:v>
      </x:c>
      <x:c r="D24" s="49" t="str">
        <x:v>박소연</x:v>
      </x:c>
      <x:c r="E24" s="49" t="str">
        <x:v>재직</x:v>
      </x:c>
      <x:c r="F24" s="47" t="n">
        <x:v>46035</x:v>
      </x:c>
      <x:c r="G24" s="48" t="n">
        <x:f>IF(F24="","",MAX(0,(YEAR('요약'!$B$3)-YEAR(F24))*12+MONTH('요약'!$B$3)-MONTH(F24)-IF(DAY('요약'!$B$3)&lt;DAY(F24),1,0)))</x:f>
        <x:v>6</x:v>
      </x:c>
      <x:c r="H24" s="47" t="n">
        <x:f>IF(F24="","",DATE(YEAR('요약'!$B$3)-IF(DATE(YEAR('요약'!$B$3),MONTH(F24),DAY(F24))&gt;'요약'!$B$3,1,0),MONTH(F24),DAY(F24)))</x:f>
        <x:v>46035</x:v>
      </x:c>
      <x:c r="I24" s="47" t="n">
        <x:f>IF(H24="","",DATE(YEAR(H24)+1,MONTH(H24),DAY(H24))-1)</x:f>
        <x:v>46399</x:v>
      </x:c>
      <x:c r="J24" s="50" t="n">
        <x:f>IF(F24="","",IF(G24&lt;12,MIN(11,G24),MIN(25,15+INT((G24-12)/24))))</x:f>
        <x:v>6</x:v>
      </x:c>
      <x:c r="K24" s="51" t="n">
        <x:v>6</x:v>
      </x:c>
      <x:c r="L24" s="51" t="n">
        <x:v>5</x:v>
      </x:c>
      <x:c r="M24" s="48" t="n">
        <x:f>SUMIFS('사용 원장'!$J$4:$J$302,'사용 원장'!$A$4:$A$302,A24,'사용 원장'!$E$4:$E$302,"&gt;="&amp;H24,'사용 원장'!$E$4:$E$302,"&lt;="&amp;I24)</x:f>
        <x:v>5</x:v>
      </x:c>
      <x:c r="N24" s="48" t="n">
        <x:v>5</x:v>
      </x:c>
      <x:c r="O24" s="51" t="n">
        <x:v>0</x:v>
      </x:c>
      <x:c r="P24" s="51" t="n">
        <x:v>0</x:v>
      </x:c>
      <x:c r="Q24" s="51" t="n">
        <x:v>1</x:v>
      </x:c>
      <x:c r="R24" s="52" t="n">
        <x:f>IF(COUNTA(Q24)=0,"",MAX(0,K24-L24-O24-P24))</x:f>
        <x:v>1</x:v>
      </x:c>
      <x:c r="S24" s="52" t="n">
        <x:f>IF(COUNTA(K24)=0,"",K24-J24)</x:f>
        <x:v>0</x:v>
      </x:c>
      <x:c r="T24" s="52" t="n">
        <x:f>IF(COUNTA(L24)=0,"",L24-M24)</x:f>
        <x:v>0</x:v>
      </x:c>
      <x:c r="U24" s="52" t="n">
        <x:f>IF(COUNTA(Q24)=0,"",Q24-R24)</x:f>
        <x:v>0</x:v>
      </x:c>
      <x:c r="V24" s="49" t="str">
        <x:f>IF(COUNTA(F24)=0,"입사일 없음",IF(COUNTA(Q24)=0,"잔액 미생성",IF(OR(IF(COUNTA(S24)=0,FALSE,ABS(S24)&gt;0.01),IF(COUNTA(T24)=0,FALSE,ABS(T24)&gt;0.01),IF(COUNTA(U24)=0,FALSE,ABS(U24)&gt;0.01)),"확인 필요","정상")))</x:f>
        <x:v>정상</x:v>
      </x:c>
      <x:c r="W24" s="48" t="n">
        <x:v>0</x:v>
      </x:c>
      <x:c r="X24" s="49" t="str"/>
    </x:row>
    <x:row r="25">
      <x:c r="A25" s="49" t="str">
        <x:v>fad75292-64f8-453a-b45d-9ea0baa42971</x:v>
      </x:c>
      <x:c r="B25" s="49" t="str">
        <x:v>박철홍정형외과</x:v>
      </x:c>
      <x:c r="C25" s="49" t="str">
        <x:v>28</x:v>
      </x:c>
      <x:c r="D25" s="49" t="str">
        <x:v>박유진</x:v>
      </x:c>
      <x:c r="E25" s="49" t="str">
        <x:v>재직</x:v>
      </x:c>
      <x:c r="F25" s="47" t="n">
        <x:v>45817</x:v>
      </x:c>
      <x:c r="G25" s="48" t="n">
        <x:f>IF(F25="","",MAX(0,(YEAR('요약'!$B$3)-YEAR(F25))*12+MONTH('요약'!$B$3)-MONTH(F25)-IF(DAY('요약'!$B$3)&lt;DAY(F25),1,0)))</x:f>
        <x:v>13</x:v>
      </x:c>
      <x:c r="H25" s="47" t="n">
        <x:f>IF(F25="","",DATE(YEAR('요약'!$B$3)-IF(DATE(YEAR('요약'!$B$3),MONTH(F25),DAY(F25))&gt;'요약'!$B$3,1,0),MONTH(F25),DAY(F25)))</x:f>
        <x:v>46182</x:v>
      </x:c>
      <x:c r="I25" s="47" t="n">
        <x:f>IF(H25="","",DATE(YEAR(H25)+1,MONTH(H25),DAY(H25))-1)</x:f>
        <x:v>46546</x:v>
      </x:c>
      <x:c r="J25" s="50" t="n">
        <x:f>IF(F25="","",IF(G25&lt;12,MIN(11,G25),MIN(25,15+INT((G25-12)/24))))</x:f>
        <x:v>15</x:v>
      </x:c>
      <x:c r="K25" s="51" t="n">
        <x:v>15</x:v>
      </x:c>
      <x:c r="L25" s="51" t="n">
        <x:v>3</x:v>
      </x:c>
      <x:c r="M25" s="48" t="n">
        <x:f>SUMIFS('사용 원장'!$J$4:$J$302,'사용 원장'!$A$4:$A$302,A25,'사용 원장'!$E$4:$E$302,"&gt;="&amp;H25,'사용 원장'!$E$4:$E$302,"&lt;="&amp;I25)</x:f>
        <x:v>3</x:v>
      </x:c>
      <x:c r="N25" s="48" t="n">
        <x:v>6</x:v>
      </x:c>
      <x:c r="O25" s="51" t="n">
        <x:v>0</x:v>
      </x:c>
      <x:c r="P25" s="51" t="n">
        <x:v>0</x:v>
      </x:c>
      <x:c r="Q25" s="51" t="n">
        <x:v>12</x:v>
      </x:c>
      <x:c r="R25" s="52" t="n">
        <x:f>IF(COUNTA(Q25)=0,"",MAX(0,K25-L25-O25-P25))</x:f>
        <x:v>12</x:v>
      </x:c>
      <x:c r="S25" s="52" t="n">
        <x:f>IF(COUNTA(K25)=0,"",K25-J25)</x:f>
        <x:v>0</x:v>
      </x:c>
      <x:c r="T25" s="52" t="n">
        <x:f>IF(COUNTA(L25)=0,"",L25-M25)</x:f>
        <x:v>0</x:v>
      </x:c>
      <x:c r="U25" s="52" t="n">
        <x:f>IF(COUNTA(Q25)=0,"",Q25-R25)</x:f>
        <x:v>0</x:v>
      </x:c>
      <x:c r="V25" s="49" t="str">
        <x:f>IF(COUNTA(F25)=0,"입사일 없음",IF(COUNTA(Q25)=0,"잔액 미생성",IF(OR(IF(COUNTA(S25)=0,FALSE,ABS(S25)&gt;0.01),IF(COUNTA(T25)=0,FALSE,ABS(T25)&gt;0.01),IF(COUNTA(U25)=0,FALSE,ABS(U25)&gt;0.01)),"확인 필요","정상")))</x:f>
        <x:v>정상</x:v>
      </x:c>
      <x:c r="W25" s="48" t="n">
        <x:v>0</x:v>
      </x:c>
      <x:c r="X25" s="49" t="str"/>
    </x:row>
    <x:row r="26">
      <x:c r="A26" s="49" t="str">
        <x:v>0951c488-78e2-4dad-8735-6415b2929e53</x:v>
      </x:c>
      <x:c r="B26" s="49" t="str">
        <x:v>박철홍정형외과</x:v>
      </x:c>
      <x:c r="C26" s="49" t="str">
        <x:v>34</x:v>
      </x:c>
      <x:c r="D26" s="49" t="str">
        <x:v>박은안</x:v>
      </x:c>
      <x:c r="E26" s="49" t="str">
        <x:v>재직</x:v>
      </x:c>
      <x:c r="F26" s="47" t="n">
        <x:v>45869</x:v>
      </x:c>
      <x:c r="G26" s="48" t="n">
        <x:f>IF(F26="","",MAX(0,(YEAR('요약'!$B$3)-YEAR(F26))*12+MONTH('요약'!$B$3)-MONTH(F26)-IF(DAY('요약'!$B$3)&lt;DAY(F26),1,0)))</x:f>
        <x:v>11</x:v>
      </x:c>
      <x:c r="H26" s="47" t="n">
        <x:f>IF(F26="","",DATE(YEAR('요약'!$B$3)-IF(DATE(YEAR('요약'!$B$3),MONTH(F26),DAY(F26))&gt;'요약'!$B$3,1,0),MONTH(F26),DAY(F26)))</x:f>
        <x:v>45869</x:v>
      </x:c>
      <x:c r="I26" s="47" t="n">
        <x:f>IF(H26="","",DATE(YEAR(H26)+1,MONTH(H26),DAY(H26))-1)</x:f>
        <x:v>46233</x:v>
      </x:c>
      <x:c r="J26" s="50" t="n">
        <x:f>IF(F26="","",IF(G26&lt;12,MIN(11,G26),MIN(25,15+INT((G26-12)/24))))</x:f>
        <x:v>11</x:v>
      </x:c>
      <x:c r="K26" s="51" t="n">
        <x:v>11</x:v>
      </x:c>
      <x:c r="L26" s="51" t="n">
        <x:v>10</x:v>
      </x:c>
      <x:c r="M26" s="48" t="n">
        <x:f>SUMIFS('사용 원장'!$J$4:$J$302,'사용 원장'!$A$4:$A$302,A26,'사용 원장'!$E$4:$E$302,"&gt;="&amp;H26,'사용 원장'!$E$4:$E$302,"&lt;="&amp;I26)</x:f>
        <x:v>10</x:v>
      </x:c>
      <x:c r="N26" s="48" t="n">
        <x:v>10</x:v>
      </x:c>
      <x:c r="O26" s="51" t="n">
        <x:v>0</x:v>
      </x:c>
      <x:c r="P26" s="51" t="n">
        <x:v>0</x:v>
      </x:c>
      <x:c r="Q26" s="51" t="n">
        <x:v>1</x:v>
      </x:c>
      <x:c r="R26" s="52" t="n">
        <x:f>IF(COUNTA(Q26)=0,"",MAX(0,K26-L26-O26-P26))</x:f>
        <x:v>1</x:v>
      </x:c>
      <x:c r="S26" s="52" t="n">
        <x:f>IF(COUNTA(K26)=0,"",K26-J26)</x:f>
        <x:v>0</x:v>
      </x:c>
      <x:c r="T26" s="52" t="n">
        <x:f>IF(COUNTA(L26)=0,"",L26-M26)</x:f>
        <x:v>0</x:v>
      </x:c>
      <x:c r="U26" s="52" t="n">
        <x:f>IF(COUNTA(Q26)=0,"",Q26-R26)</x:f>
        <x:v>0</x:v>
      </x:c>
      <x:c r="V26" s="49" t="str">
        <x:f>IF(COUNTA(F26)=0,"입사일 없음",IF(COUNTA(Q26)=0,"잔액 미생성",IF(OR(IF(COUNTA(S26)=0,FALSE,ABS(S26)&gt;0.01),IF(COUNTA(T26)=0,FALSE,ABS(T26)&gt;0.01),IF(COUNTA(U26)=0,FALSE,ABS(U26)&gt;0.01)),"확인 필요","정상")))</x:f>
        <x:v>정상</x:v>
      </x:c>
      <x:c r="W26" s="48" t="n">
        <x:v>0</x:v>
      </x:c>
      <x:c r="X26" s="49" t="str"/>
    </x:row>
    <x:row r="27">
      <x:c r="A27" s="49" t="str">
        <x:v>89933301-5a6c-40c2-b613-9bef723f93cb</x:v>
      </x:c>
      <x:c r="B27" s="49" t="str">
        <x:v>박철홍정형외과</x:v>
      </x:c>
      <x:c r="C27" s="49" t="str">
        <x:v>17</x:v>
      </x:c>
      <x:c r="D27" s="49" t="str">
        <x:v>박지영</x:v>
      </x:c>
      <x:c r="E27" s="49" t="str">
        <x:v>재직</x:v>
      </x:c>
      <x:c r="F27" s="47" t="n">
        <x:v>45219</x:v>
      </x:c>
      <x:c r="G27" s="48" t="n">
        <x:f>IF(F27="","",MAX(0,(YEAR('요약'!$B$3)-YEAR(F27))*12+MONTH('요약'!$B$3)-MONTH(F27)-IF(DAY('요약'!$B$3)&lt;DAY(F27),1,0)))</x:f>
        <x:v>33</x:v>
      </x:c>
      <x:c r="H27" s="47" t="n">
        <x:f>IF(F27="","",DATE(YEAR('요약'!$B$3)-IF(DATE(YEAR('요약'!$B$3),MONTH(F27),DAY(F27))&gt;'요약'!$B$3,1,0),MONTH(F27),DAY(F27)))</x:f>
        <x:v>45950</x:v>
      </x:c>
      <x:c r="I27" s="47" t="n">
        <x:f>IF(H27="","",DATE(YEAR(H27)+1,MONTH(H27),DAY(H27))-1)</x:f>
        <x:v>46314</x:v>
      </x:c>
      <x:c r="J27" s="50" t="n">
        <x:f>IF(F27="","",IF(G27&lt;12,MIN(11,G27),MIN(25,15+INT((G27-12)/24))))</x:f>
        <x:v>15</x:v>
      </x:c>
      <x:c r="K27" s="51" t="n">
        <x:v>15</x:v>
      </x:c>
      <x:c r="L27" s="51" t="n">
        <x:v>0</x:v>
      </x:c>
      <x:c r="M27" s="48" t="n">
        <x:f>SUMIFS('사용 원장'!$J$4:$J$302,'사용 원장'!$A$4:$A$302,A27,'사용 원장'!$E$4:$E$302,"&gt;="&amp;H27,'사용 원장'!$E$4:$E$302,"&lt;="&amp;I27)</x:f>
        <x:v>0</x:v>
      </x:c>
      <x:c r="N27" s="48" t="n">
        <x:v>0</x:v>
      </x:c>
      <x:c r="O27" s="51" t="n">
        <x:v>0</x:v>
      </x:c>
      <x:c r="P27" s="51" t="n">
        <x:v>0</x:v>
      </x:c>
      <x:c r="Q27" s="51" t="n">
        <x:v>15</x:v>
      </x:c>
      <x:c r="R27" s="52" t="n">
        <x:f>IF(COUNTA(Q27)=0,"",MAX(0,K27-L27-O27-P27))</x:f>
        <x:v>15</x:v>
      </x:c>
      <x:c r="S27" s="52" t="n">
        <x:f>IF(COUNTA(K27)=0,"",K27-J27)</x:f>
        <x:v>0</x:v>
      </x:c>
      <x:c r="T27" s="52" t="n">
        <x:f>IF(COUNTA(L27)=0,"",L27-M27)</x:f>
        <x:v>0</x:v>
      </x:c>
      <x:c r="U27" s="52" t="n">
        <x:f>IF(COUNTA(Q27)=0,"",Q27-R27)</x:f>
        <x:v>0</x:v>
      </x:c>
      <x:c r="V27" s="49" t="str">
        <x:f>IF(COUNTA(F27)=0,"입사일 없음",IF(COUNTA(Q27)=0,"잔액 미생성",IF(OR(IF(COUNTA(S27)=0,FALSE,ABS(S27)&gt;0.01),IF(COUNTA(T27)=0,FALSE,ABS(T27)&gt;0.01),IF(COUNTA(U27)=0,FALSE,ABS(U27)&gt;0.01)),"확인 필요","정상")))</x:f>
        <x:v>정상</x:v>
      </x:c>
      <x:c r="W27" s="48" t="n">
        <x:v>0</x:v>
      </x:c>
      <x:c r="X27" s="49" t="str"/>
    </x:row>
    <x:row r="28">
      <x:c r="A28" s="49" t="str">
        <x:v>21cefd98-f172-4fc3-8de8-ba74998686cc</x:v>
      </x:c>
      <x:c r="B28" s="49" t="str">
        <x:v>박철홍정형외과</x:v>
      </x:c>
      <x:c r="C28" s="49" t="str">
        <x:v>1</x:v>
      </x:c>
      <x:c r="D28" s="49" t="str">
        <x:v>박철홍</x:v>
      </x:c>
      <x:c r="E28" s="49" t="str">
        <x:v>재직</x:v>
      </x:c>
      <x:c r="F28" s="47" t="n">
        <x:v>45139</x:v>
      </x:c>
      <x:c r="G28" s="48" t="n">
        <x:f>IF(F28="","",MAX(0,(YEAR('요약'!$B$3)-YEAR(F28))*12+MONTH('요약'!$B$3)-MONTH(F28)-IF(DAY('요약'!$B$3)&lt;DAY(F28),1,0)))</x:f>
        <x:v>35</x:v>
      </x:c>
      <x:c r="H28" s="47" t="n">
        <x:f>IF(F28="","",DATE(YEAR('요약'!$B$3)-IF(DATE(YEAR('요약'!$B$3),MONTH(F28),DAY(F28))&gt;'요약'!$B$3,1,0),MONTH(F28),DAY(F28)))</x:f>
        <x:v>45870</x:v>
      </x:c>
      <x:c r="I28" s="47" t="n">
        <x:f>IF(H28="","",DATE(YEAR(H28)+1,MONTH(H28),DAY(H28))-1)</x:f>
        <x:v>46234</x:v>
      </x:c>
      <x:c r="J28" s="50" t="n">
        <x:f>IF(F28="","",IF(G28&lt;12,MIN(11,G28),MIN(25,15+INT((G28-12)/24))))</x:f>
        <x:v>15</x:v>
      </x:c>
      <x:c r="K28" s="51" t="n">
        <x:v>15</x:v>
      </x:c>
      <x:c r="L28" s="51" t="n">
        <x:v>16</x:v>
      </x:c>
      <x:c r="M28" s="48" t="n">
        <x:f>SUMIFS('사용 원장'!$J$4:$J$302,'사용 원장'!$A$4:$A$302,A28,'사용 원장'!$E$4:$E$302,"&gt;="&amp;H28,'사용 원장'!$E$4:$E$302,"&lt;="&amp;I28)</x:f>
        <x:v>16</x:v>
      </x:c>
      <x:c r="N28" s="48" t="n">
        <x:v>16</x:v>
      </x:c>
      <x:c r="O28" s="51" t="n">
        <x:v>0</x:v>
      </x:c>
      <x:c r="P28" s="51" t="n">
        <x:v>0</x:v>
      </x:c>
      <x:c r="Q28" s="51" t="n">
        <x:v>0</x:v>
      </x:c>
      <x:c r="R28" s="52" t="n">
        <x:f>IF(COUNTA(Q28)=0,"",MAX(0,K28-L28-O28-P28))</x:f>
        <x:v>0</x:v>
      </x:c>
      <x:c r="S28" s="52" t="n">
        <x:f>IF(COUNTA(K28)=0,"",K28-J28)</x:f>
        <x:v>0</x:v>
      </x:c>
      <x:c r="T28" s="52" t="n">
        <x:f>IF(COUNTA(L28)=0,"",L28-M28)</x:f>
        <x:v>0</x:v>
      </x:c>
      <x:c r="U28" s="52" t="n">
        <x:f>IF(COUNTA(Q28)=0,"",Q28-R28)</x:f>
        <x:v>0</x:v>
      </x:c>
      <x:c r="V28" s="49" t="str">
        <x:f>IF(COUNTA(F28)=0,"입사일 없음",IF(COUNTA(Q28)=0,"잔액 미생성",IF(OR(IF(COUNTA(S28)=0,FALSE,ABS(S28)&gt;0.01),IF(COUNTA(T28)=0,FALSE,ABS(T28)&gt;0.01),IF(COUNTA(U28)=0,FALSE,ABS(U28)&gt;0.01)),"확인 필요","정상")))</x:f>
        <x:v>정상</x:v>
      </x:c>
      <x:c r="W28" s="48" t="n">
        <x:v>0</x:v>
      </x:c>
      <x:c r="X28" s="49" t="str"/>
    </x:row>
    <x:row r="29">
      <x:c r="A29" s="49" t="str">
        <x:v>f21833c4-76a3-4a27-b26f-589053dd673b</x:v>
      </x:c>
      <x:c r="B29" s="49" t="str">
        <x:v>박철홍정형외과</x:v>
      </x:c>
      <x:c r="C29" s="49" t="str">
        <x:v>23</x:v>
      </x:c>
      <x:c r="D29" s="49" t="str">
        <x:v>박하연</x:v>
      </x:c>
      <x:c r="E29" s="49" t="str">
        <x:v>재직</x:v>
      </x:c>
      <x:c r="F29" s="47" t="n">
        <x:v>45566</x:v>
      </x:c>
      <x:c r="G29" s="48" t="n">
        <x:f>IF(F29="","",MAX(0,(YEAR('요약'!$B$3)-YEAR(F29))*12+MONTH('요약'!$B$3)-MONTH(F29)-IF(DAY('요약'!$B$3)&lt;DAY(F29),1,0)))</x:f>
        <x:v>21</x:v>
      </x:c>
      <x:c r="H29" s="47" t="n">
        <x:f>IF(F29="","",DATE(YEAR('요약'!$B$3)-IF(DATE(YEAR('요약'!$B$3),MONTH(F29),DAY(F29))&gt;'요약'!$B$3,1,0),MONTH(F29),DAY(F29)))</x:f>
        <x:v>45931</x:v>
      </x:c>
      <x:c r="I29" s="47" t="n">
        <x:f>IF(H29="","",DATE(YEAR(H29)+1,MONTH(H29),DAY(H29))-1)</x:f>
        <x:v>46295</x:v>
      </x:c>
      <x:c r="J29" s="50" t="n">
        <x:f>IF(F29="","",IF(G29&lt;12,MIN(11,G29),MIN(25,15+INT((G29-12)/24))))</x:f>
        <x:v>15</x:v>
      </x:c>
      <x:c r="K29" s="51" t="n">
        <x:v>15</x:v>
      </x:c>
      <x:c r="L29" s="51" t="n">
        <x:v>14</x:v>
      </x:c>
      <x:c r="M29" s="48" t="n">
        <x:f>SUMIFS('사용 원장'!$J$4:$J$302,'사용 원장'!$A$4:$A$302,A29,'사용 원장'!$E$4:$E$302,"&gt;="&amp;H29,'사용 원장'!$E$4:$E$302,"&lt;="&amp;I29)</x:f>
        <x:v>14</x:v>
      </x:c>
      <x:c r="N29" s="48" t="n">
        <x:v>14</x:v>
      </x:c>
      <x:c r="O29" s="51" t="n">
        <x:v>0</x:v>
      </x:c>
      <x:c r="P29" s="51" t="n">
        <x:v>0</x:v>
      </x:c>
      <x:c r="Q29" s="51" t="n">
        <x:v>1</x:v>
      </x:c>
      <x:c r="R29" s="52" t="n">
        <x:f>IF(COUNTA(Q29)=0,"",MAX(0,K29-L29-O29-P29))</x:f>
        <x:v>1</x:v>
      </x:c>
      <x:c r="S29" s="52" t="n">
        <x:f>IF(COUNTA(K29)=0,"",K29-J29)</x:f>
        <x:v>0</x:v>
      </x:c>
      <x:c r="T29" s="52" t="n">
        <x:f>IF(COUNTA(L29)=0,"",L29-M29)</x:f>
        <x:v>0</x:v>
      </x:c>
      <x:c r="U29" s="52" t="n">
        <x:f>IF(COUNTA(Q29)=0,"",Q29-R29)</x:f>
        <x:v>0</x:v>
      </x:c>
      <x:c r="V29" s="49" t="str">
        <x:f>IF(COUNTA(F29)=0,"입사일 없음",IF(COUNTA(Q29)=0,"잔액 미생성",IF(OR(IF(COUNTA(S29)=0,FALSE,ABS(S29)&gt;0.01),IF(COUNTA(T29)=0,FALSE,ABS(T29)&gt;0.01),IF(COUNTA(U29)=0,FALSE,ABS(U29)&gt;0.01)),"확인 필요","정상")))</x:f>
        <x:v>정상</x:v>
      </x:c>
      <x:c r="W29" s="48" t="n">
        <x:v>2</x:v>
      </x:c>
      <x:c r="X29" s="49" t="str">
        <x:v>연차(부여) 2건</x:v>
      </x:c>
    </x:row>
    <x:row r="30">
      <x:c r="A30" s="49" t="str">
        <x:v>9d2818ef-5201-4674-8023-a504b8ad70d5</x:v>
      </x:c>
      <x:c r="B30" s="49" t="str">
        <x:v>박철홍정형외과</x:v>
      </x:c>
      <x:c r="C30" s="49" t="str">
        <x:v>22</x:v>
      </x:c>
      <x:c r="D30" s="49" t="str">
        <x:v>방영란</x:v>
      </x:c>
      <x:c r="E30" s="49" t="str">
        <x:v>재직</x:v>
      </x:c>
      <x:c r="F30" s="47" t="n">
        <x:v>45536</x:v>
      </x:c>
      <x:c r="G30" s="48" t="n">
        <x:f>IF(F30="","",MAX(0,(YEAR('요약'!$B$3)-YEAR(F30))*12+MONTH('요약'!$B$3)-MONTH(F30)-IF(DAY('요약'!$B$3)&lt;DAY(F30),1,0)))</x:f>
        <x:v>22</x:v>
      </x:c>
      <x:c r="H30" s="47" t="n">
        <x:f>IF(F30="","",DATE(YEAR('요약'!$B$3)-IF(DATE(YEAR('요약'!$B$3),MONTH(F30),DAY(F30))&gt;'요약'!$B$3,1,0),MONTH(F30),DAY(F30)))</x:f>
        <x:v>45901</x:v>
      </x:c>
      <x:c r="I30" s="47" t="n">
        <x:f>IF(H30="","",DATE(YEAR(H30)+1,MONTH(H30),DAY(H30))-1)</x:f>
        <x:v>46265</x:v>
      </x:c>
      <x:c r="J30" s="50" t="n">
        <x:f>IF(F30="","",IF(G30&lt;12,MIN(11,G30),MIN(25,15+INT((G30-12)/24))))</x:f>
        <x:v>15</x:v>
      </x:c>
      <x:c r="K30" s="51" t="n">
        <x:v>15</x:v>
      </x:c>
      <x:c r="L30" s="51" t="n">
        <x:v>15</x:v>
      </x:c>
      <x:c r="M30" s="48" t="n">
        <x:f>SUMIFS('사용 원장'!$J$4:$J$302,'사용 원장'!$A$4:$A$302,A30,'사용 원장'!$E$4:$E$302,"&gt;="&amp;H30,'사용 원장'!$E$4:$E$302,"&lt;="&amp;I30)</x:f>
        <x:v>15</x:v>
      </x:c>
      <x:c r="N30" s="48" t="n">
        <x:v>15</x:v>
      </x:c>
      <x:c r="O30" s="51" t="n">
        <x:v>0</x:v>
      </x:c>
      <x:c r="P30" s="51" t="n">
        <x:v>0</x:v>
      </x:c>
      <x:c r="Q30" s="51" t="n">
        <x:v>0</x:v>
      </x:c>
      <x:c r="R30" s="52" t="n">
        <x:f>IF(COUNTA(Q30)=0,"",MAX(0,K30-L30-O30-P30))</x:f>
        <x:v>0</x:v>
      </x:c>
      <x:c r="S30" s="52" t="n">
        <x:f>IF(COUNTA(K30)=0,"",K30-J30)</x:f>
        <x:v>0</x:v>
      </x:c>
      <x:c r="T30" s="52" t="n">
        <x:f>IF(COUNTA(L30)=0,"",L30-M30)</x:f>
        <x:v>0</x:v>
      </x:c>
      <x:c r="U30" s="52" t="n">
        <x:f>IF(COUNTA(Q30)=0,"",Q30-R30)</x:f>
        <x:v>0</x:v>
      </x:c>
      <x:c r="V30" s="49" t="str">
        <x:f>IF(COUNTA(F30)=0,"입사일 없음",IF(COUNTA(Q30)=0,"잔액 미생성",IF(OR(IF(COUNTA(S30)=0,FALSE,ABS(S30)&gt;0.01),IF(COUNTA(T30)=0,FALSE,ABS(T30)&gt;0.01),IF(COUNTA(U30)=0,FALSE,ABS(U30)&gt;0.01)),"확인 필요","정상")))</x:f>
        <x:v>정상</x:v>
      </x:c>
      <x:c r="W30" s="48" t="n">
        <x:v>0</x:v>
      </x:c>
      <x:c r="X30" s="49" t="str"/>
    </x:row>
    <x:row r="31">
      <x:c r="A31" s="49" t="str">
        <x:v>296e4d3b-aca4-45e1-896c-538ec1b486a9</x:v>
      </x:c>
      <x:c r="B31" s="49" t="str">
        <x:v>박철홍정형외과</x:v>
      </x:c>
      <x:c r="C31" s="49" t="str">
        <x:v>62</x:v>
      </x:c>
      <x:c r="D31" s="49" t="str">
        <x:v>병동팀1</x:v>
      </x:c>
      <x:c r="E31" s="49" t="str">
        <x:v>재직</x:v>
      </x:c>
      <x:c r="F31" s="47" t="n">
        <x:v>46111</x:v>
      </x:c>
      <x:c r="G31" s="48" t="n">
        <x:f>IF(F31="","",MAX(0,(YEAR('요약'!$B$3)-YEAR(F31))*12+MONTH('요약'!$B$3)-MONTH(F31)-IF(DAY('요약'!$B$3)&lt;DAY(F31),1,0)))</x:f>
        <x:v>3</x:v>
      </x:c>
      <x:c r="H31" s="47" t="n">
        <x:f>IF(F31="","",DATE(YEAR('요약'!$B$3)-IF(DATE(YEAR('요약'!$B$3),MONTH(F31),DAY(F31))&gt;'요약'!$B$3,1,0),MONTH(F31),DAY(F31)))</x:f>
        <x:v>46111</x:v>
      </x:c>
      <x:c r="I31" s="47" t="n">
        <x:f>IF(H31="","",DATE(YEAR(H31)+1,MONTH(H31),DAY(H31))-1)</x:f>
        <x:v>46475</x:v>
      </x:c>
      <x:c r="J31" s="50" t="n">
        <x:f>IF(F31="","",IF(G31&lt;12,MIN(11,G31),MIN(25,15+INT((G31-12)/24))))</x:f>
        <x:v>3</x:v>
      </x:c>
      <x:c r="K31" s="51" t="n">
        <x:v>3</x:v>
      </x:c>
      <x:c r="L31" s="51" t="n">
        <x:v>0</x:v>
      </x:c>
      <x:c r="M31" s="48" t="n">
        <x:f>SUMIFS('사용 원장'!$J$4:$J$302,'사용 원장'!$A$4:$A$302,A31,'사용 원장'!$E$4:$E$302,"&gt;="&amp;H31,'사용 원장'!$E$4:$E$302,"&lt;="&amp;I31)</x:f>
        <x:v>0</x:v>
      </x:c>
      <x:c r="N31" s="48" t="n">
        <x:v>0</x:v>
      </x:c>
      <x:c r="O31" s="51" t="n">
        <x:v>0</x:v>
      </x:c>
      <x:c r="P31" s="51" t="n">
        <x:v>0</x:v>
      </x:c>
      <x:c r="Q31" s="51" t="n">
        <x:v>3</x:v>
      </x:c>
      <x:c r="R31" s="52" t="n">
        <x:f>IF(COUNTA(Q31)=0,"",MAX(0,K31-L31-O31-P31))</x:f>
        <x:v>3</x:v>
      </x:c>
      <x:c r="S31" s="52" t="n">
        <x:f>IF(COUNTA(K31)=0,"",K31-J31)</x:f>
        <x:v>0</x:v>
      </x:c>
      <x:c r="T31" s="52" t="n">
        <x:f>IF(COUNTA(L31)=0,"",L31-M31)</x:f>
        <x:v>0</x:v>
      </x:c>
      <x:c r="U31" s="52" t="n">
        <x:f>IF(COUNTA(Q31)=0,"",Q31-R31)</x:f>
        <x:v>0</x:v>
      </x:c>
      <x:c r="V31" s="49" t="str">
        <x:f>IF(COUNTA(F31)=0,"입사일 없음",IF(COUNTA(Q31)=0,"잔액 미생성",IF(OR(IF(COUNTA(S31)=0,FALSE,ABS(S31)&gt;0.01),IF(COUNTA(T31)=0,FALSE,ABS(T31)&gt;0.01),IF(COUNTA(U31)=0,FALSE,ABS(U31)&gt;0.01)),"확인 필요","정상")))</x:f>
        <x:v>정상</x:v>
      </x:c>
      <x:c r="W31" s="48" t="n">
        <x:v>0</x:v>
      </x:c>
      <x:c r="X31" s="49" t="str"/>
    </x:row>
    <x:row r="32">
      <x:c r="A32" s="49" t="str">
        <x:v>0c565a99-1a11-4b29-b349-131b3b8a38c5</x:v>
      </x:c>
      <x:c r="B32" s="49" t="str">
        <x:v>박철홍정형외과</x:v>
      </x:c>
      <x:c r="C32" s="49" t="str">
        <x:v>25</x:v>
      </x:c>
      <x:c r="D32" s="49" t="str">
        <x:v>송소현</x:v>
      </x:c>
      <x:c r="E32" s="49" t="str">
        <x:v>재직</x:v>
      </x:c>
      <x:c r="F32" s="47" t="n">
        <x:v>45660</x:v>
      </x:c>
      <x:c r="G32" s="48" t="n">
        <x:f>IF(F32="","",MAX(0,(YEAR('요약'!$B$3)-YEAR(F32))*12+MONTH('요약'!$B$3)-MONTH(F32)-IF(DAY('요약'!$B$3)&lt;DAY(F32),1,0)))</x:f>
        <x:v>18</x:v>
      </x:c>
      <x:c r="H32" s="47" t="n">
        <x:f>IF(F32="","",DATE(YEAR('요약'!$B$3)-IF(DATE(YEAR('요약'!$B$3),MONTH(F32),DAY(F32))&gt;'요약'!$B$3,1,0),MONTH(F32),DAY(F32)))</x:f>
        <x:v>46025</x:v>
      </x:c>
      <x:c r="I32" s="47" t="n">
        <x:f>IF(H32="","",DATE(YEAR(H32)+1,MONTH(H32),DAY(H32))-1)</x:f>
        <x:v>46389</x:v>
      </x:c>
      <x:c r="J32" s="50" t="n">
        <x:f>IF(F32="","",IF(G32&lt;12,MIN(11,G32),MIN(25,15+INT((G32-12)/24))))</x:f>
        <x:v>15</x:v>
      </x:c>
      <x:c r="K32" s="51" t="n">
        <x:v>15</x:v>
      </x:c>
      <x:c r="L32" s="51" t="n">
        <x:v>8</x:v>
      </x:c>
      <x:c r="M32" s="48" t="n">
        <x:f>SUMIFS('사용 원장'!$J$4:$J$302,'사용 원장'!$A$4:$A$302,A32,'사용 원장'!$E$4:$E$302,"&gt;="&amp;H32,'사용 원장'!$E$4:$E$302,"&lt;="&amp;I32)</x:f>
        <x:v>8</x:v>
      </x:c>
      <x:c r="N32" s="48" t="n">
        <x:v>9</x:v>
      </x:c>
      <x:c r="O32" s="51" t="n">
        <x:v>0</x:v>
      </x:c>
      <x:c r="P32" s="51" t="n">
        <x:v>0</x:v>
      </x:c>
      <x:c r="Q32" s="51" t="n">
        <x:v>7</x:v>
      </x:c>
      <x:c r="R32" s="52" t="n">
        <x:f>IF(COUNTA(Q32)=0,"",MAX(0,K32-L32-O32-P32))</x:f>
        <x:v>7</x:v>
      </x:c>
      <x:c r="S32" s="52" t="n">
        <x:f>IF(COUNTA(K32)=0,"",K32-J32)</x:f>
        <x:v>0</x:v>
      </x:c>
      <x:c r="T32" s="52" t="n">
        <x:f>IF(COUNTA(L32)=0,"",L32-M32)</x:f>
        <x:v>0</x:v>
      </x:c>
      <x:c r="U32" s="52" t="n">
        <x:f>IF(COUNTA(Q32)=0,"",Q32-R32)</x:f>
        <x:v>0</x:v>
      </x:c>
      <x:c r="V32" s="49" t="str">
        <x:f>IF(COUNTA(F32)=0,"입사일 없음",IF(COUNTA(Q32)=0,"잔액 미생성",IF(OR(IF(COUNTA(S32)=0,FALSE,ABS(S32)&gt;0.01),IF(COUNTA(T32)=0,FALSE,ABS(T32)&gt;0.01),IF(COUNTA(U32)=0,FALSE,ABS(U32)&gt;0.01)),"확인 필요","정상")))</x:f>
        <x:v>정상</x:v>
      </x:c>
      <x:c r="W32" s="48" t="n">
        <x:v>1</x:v>
      </x:c>
      <x:c r="X32" s="49" t="str">
        <x:v>연차(부여) 1건</x:v>
      </x:c>
    </x:row>
    <x:row r="33">
      <x:c r="A33" s="49" t="str">
        <x:v>589143b3-f117-4631-ad55-08c7ad6f2a05</x:v>
      </x:c>
      <x:c r="B33" s="49" t="str">
        <x:v>박철홍정형외과</x:v>
      </x:c>
      <x:c r="C33" s="49" t="str">
        <x:v>64</x:v>
      </x:c>
      <x:c r="D33" s="49" t="str">
        <x:v>수술팀1</x:v>
      </x:c>
      <x:c r="E33" s="49" t="str">
        <x:v>재직</x:v>
      </x:c>
      <x:c r="F33" s="47" t="n">
        <x:v>46111</x:v>
      </x:c>
      <x:c r="G33" s="48" t="n">
        <x:f>IF(F33="","",MAX(0,(YEAR('요약'!$B$3)-YEAR(F33))*12+MONTH('요약'!$B$3)-MONTH(F33)-IF(DAY('요약'!$B$3)&lt;DAY(F33),1,0)))</x:f>
        <x:v>3</x:v>
      </x:c>
      <x:c r="H33" s="47" t="n">
        <x:f>IF(F33="","",DATE(YEAR('요약'!$B$3)-IF(DATE(YEAR('요약'!$B$3),MONTH(F33),DAY(F33))&gt;'요약'!$B$3,1,0),MONTH(F33),DAY(F33)))</x:f>
        <x:v>46111</x:v>
      </x:c>
      <x:c r="I33" s="47" t="n">
        <x:f>IF(H33="","",DATE(YEAR(H33)+1,MONTH(H33),DAY(H33))-1)</x:f>
        <x:v>46475</x:v>
      </x:c>
      <x:c r="J33" s="50" t="n">
        <x:f>IF(F33="","",IF(G33&lt;12,MIN(11,G33),MIN(25,15+INT((G33-12)/24))))</x:f>
        <x:v>3</x:v>
      </x:c>
      <x:c r="K33" s="51" t="n">
        <x:v>3</x:v>
      </x:c>
      <x:c r="L33" s="51" t="n">
        <x:v>1</x:v>
      </x:c>
      <x:c r="M33" s="48" t="n">
        <x:f>SUMIFS('사용 원장'!$J$4:$J$302,'사용 원장'!$A$4:$A$302,A33,'사용 원장'!$E$4:$E$302,"&gt;="&amp;H33,'사용 원장'!$E$4:$E$302,"&lt;="&amp;I33)</x:f>
        <x:v>1</x:v>
      </x:c>
      <x:c r="N33" s="48" t="n">
        <x:v>1</x:v>
      </x:c>
      <x:c r="O33" s="51" t="n">
        <x:v>0</x:v>
      </x:c>
      <x:c r="P33" s="51" t="n">
        <x:v>0</x:v>
      </x:c>
      <x:c r="Q33" s="51" t="n">
        <x:v>2</x:v>
      </x:c>
      <x:c r="R33" s="52" t="n">
        <x:f>IF(COUNTA(Q33)=0,"",MAX(0,K33-L33-O33-P33))</x:f>
        <x:v>2</x:v>
      </x:c>
      <x:c r="S33" s="52" t="n">
        <x:f>IF(COUNTA(K33)=0,"",K33-J33)</x:f>
        <x:v>0</x:v>
      </x:c>
      <x:c r="T33" s="52" t="n">
        <x:f>IF(COUNTA(L33)=0,"",L33-M33)</x:f>
        <x:v>0</x:v>
      </x:c>
      <x:c r="U33" s="52" t="n">
        <x:f>IF(COUNTA(Q33)=0,"",Q33-R33)</x:f>
        <x:v>0</x:v>
      </x:c>
      <x:c r="V33" s="49" t="str">
        <x:f>IF(COUNTA(F33)=0,"입사일 없음",IF(COUNTA(Q33)=0,"잔액 미생성",IF(OR(IF(COUNTA(S33)=0,FALSE,ABS(S33)&gt;0.01),IF(COUNTA(T33)=0,FALSE,ABS(T33)&gt;0.01),IF(COUNTA(U33)=0,FALSE,ABS(U33)&gt;0.01)),"확인 필요","정상")))</x:f>
        <x:v>정상</x:v>
      </x:c>
      <x:c r="W33" s="48" t="n">
        <x:v>0</x:v>
      </x:c>
      <x:c r="X33" s="49" t="str"/>
    </x:row>
    <x:row r="34">
      <x:c r="A34" s="49" t="str">
        <x:v>62858091-2724-49b8-b1f9-524201ad493f</x:v>
      </x:c>
      <x:c r="B34" s="49" t="str">
        <x:v>박철홍정형외과</x:v>
      </x:c>
      <x:c r="C34" s="49" t="str">
        <x:v>73</x:v>
      </x:c>
      <x:c r="D34" s="49" t="str">
        <x:v>오민경</x:v>
      </x:c>
      <x:c r="E34" s="49" t="str">
        <x:v>재직</x:v>
      </x:c>
      <x:c r="F34" s="47" t="n">
        <x:v>46188</x:v>
      </x:c>
      <x:c r="G34" s="48" t="n">
        <x:f>IF(F34="","",MAX(0,(YEAR('요약'!$B$3)-YEAR(F34))*12+MONTH('요약'!$B$3)-MONTH(F34)-IF(DAY('요약'!$B$3)&lt;DAY(F34),1,0)))</x:f>
        <x:v>1</x:v>
      </x:c>
      <x:c r="H34" s="47" t="n">
        <x:f>IF(F34="","",DATE(YEAR('요약'!$B$3)-IF(DATE(YEAR('요약'!$B$3),MONTH(F34),DAY(F34))&gt;'요약'!$B$3,1,0),MONTH(F34),DAY(F34)))</x:f>
        <x:v>46188</x:v>
      </x:c>
      <x:c r="I34" s="47" t="n">
        <x:f>IF(H34="","",DATE(YEAR(H34)+1,MONTH(H34),DAY(H34))-1)</x:f>
        <x:v>46552</x:v>
      </x:c>
      <x:c r="J34" s="50" t="n">
        <x:f>IF(F34="","",IF(G34&lt;12,MIN(11,G34),MIN(25,15+INT((G34-12)/24))))</x:f>
        <x:v>1</x:v>
      </x:c>
      <x:c r="K34" s="51" t="n">
        <x:v>1</x:v>
      </x:c>
      <x:c r="L34" s="51" t="n">
        <x:v>0</x:v>
      </x:c>
      <x:c r="M34" s="48" t="n">
        <x:f>SUMIFS('사용 원장'!$J$4:$J$302,'사용 원장'!$A$4:$A$302,A34,'사용 원장'!$E$4:$E$302,"&gt;="&amp;H34,'사용 원장'!$E$4:$E$302,"&lt;="&amp;I34)</x:f>
        <x:v>0</x:v>
      </x:c>
      <x:c r="N34" s="48" t="n">
        <x:v>0</x:v>
      </x:c>
      <x:c r="O34" s="51" t="n">
        <x:v>0</x:v>
      </x:c>
      <x:c r="P34" s="51" t="n">
        <x:v>0</x:v>
      </x:c>
      <x:c r="Q34" s="51" t="n">
        <x:v>1</x:v>
      </x:c>
      <x:c r="R34" s="52" t="n">
        <x:f>IF(COUNTA(Q34)=0,"",MAX(0,K34-L34-O34-P34))</x:f>
        <x:v>1</x:v>
      </x:c>
      <x:c r="S34" s="52" t="n">
        <x:f>IF(COUNTA(K34)=0,"",K34-J34)</x:f>
        <x:v>0</x:v>
      </x:c>
      <x:c r="T34" s="52" t="n">
        <x:f>IF(COUNTA(L34)=0,"",L34-M34)</x:f>
        <x:v>0</x:v>
      </x:c>
      <x:c r="U34" s="52" t="n">
        <x:f>IF(COUNTA(Q34)=0,"",Q34-R34)</x:f>
        <x:v>0</x:v>
      </x:c>
      <x:c r="V34" s="49" t="str">
        <x:f>IF(COUNTA(F34)=0,"입사일 없음",IF(COUNTA(Q34)=0,"잔액 미생성",IF(OR(IF(COUNTA(S34)=0,FALSE,ABS(S34)&gt;0.01),IF(COUNTA(T34)=0,FALSE,ABS(T34)&gt;0.01),IF(COUNTA(U34)=0,FALSE,ABS(U34)&gt;0.01)),"확인 필요","정상")))</x:f>
        <x:v>정상</x:v>
      </x:c>
      <x:c r="W34" s="48" t="n">
        <x:v>0</x:v>
      </x:c>
      <x:c r="X34" s="49" t="str"/>
    </x:row>
    <x:row r="35">
      <x:c r="A35" s="49" t="str">
        <x:v>2e3fbf95-2d7c-4452-8f4a-3903c1ecfac6</x:v>
      </x:c>
      <x:c r="B35" s="49" t="str">
        <x:v>박철홍정형외과</x:v>
      </x:c>
      <x:c r="C35" s="49" t="str">
        <x:v>63</x:v>
      </x:c>
      <x:c r="D35" s="49" t="str">
        <x:v>외래팀1</x:v>
      </x:c>
      <x:c r="E35" s="49" t="str">
        <x:v>재직</x:v>
      </x:c>
      <x:c r="F35" s="47" t="n">
        <x:v>46111</x:v>
      </x:c>
      <x:c r="G35" s="48" t="n">
        <x:f>IF(F35="","",MAX(0,(YEAR('요약'!$B$3)-YEAR(F35))*12+MONTH('요약'!$B$3)-MONTH(F35)-IF(DAY('요약'!$B$3)&lt;DAY(F35),1,0)))</x:f>
        <x:v>3</x:v>
      </x:c>
      <x:c r="H35" s="47" t="n">
        <x:f>IF(F35="","",DATE(YEAR('요약'!$B$3)-IF(DATE(YEAR('요약'!$B$3),MONTH(F35),DAY(F35))&gt;'요약'!$B$3,1,0),MONTH(F35),DAY(F35)))</x:f>
        <x:v>46111</x:v>
      </x:c>
      <x:c r="I35" s="47" t="n">
        <x:f>IF(H35="","",DATE(YEAR(H35)+1,MONTH(H35),DAY(H35))-1)</x:f>
        <x:v>46475</x:v>
      </x:c>
      <x:c r="J35" s="50" t="n">
        <x:f>IF(F35="","",IF(G35&lt;12,MIN(11,G35),MIN(25,15+INT((G35-12)/24))))</x:f>
        <x:v>3</x:v>
      </x:c>
      <x:c r="K35" s="51" t="n">
        <x:v>3</x:v>
      </x:c>
      <x:c r="L35" s="51" t="n">
        <x:v>0</x:v>
      </x:c>
      <x:c r="M35" s="48" t="n">
        <x:f>SUMIFS('사용 원장'!$J$4:$J$302,'사용 원장'!$A$4:$A$302,A35,'사용 원장'!$E$4:$E$302,"&gt;="&amp;H35,'사용 원장'!$E$4:$E$302,"&lt;="&amp;I35)</x:f>
        <x:v>0</x:v>
      </x:c>
      <x:c r="N35" s="48" t="n">
        <x:v>0</x:v>
      </x:c>
      <x:c r="O35" s="51" t="n">
        <x:v>0</x:v>
      </x:c>
      <x:c r="P35" s="51" t="n">
        <x:v>0</x:v>
      </x:c>
      <x:c r="Q35" s="51" t="n">
        <x:v>3</x:v>
      </x:c>
      <x:c r="R35" s="52" t="n">
        <x:f>IF(COUNTA(Q35)=0,"",MAX(0,K35-L35-O35-P35))</x:f>
        <x:v>3</x:v>
      </x:c>
      <x:c r="S35" s="52" t="n">
        <x:f>IF(COUNTA(K35)=0,"",K35-J35)</x:f>
        <x:v>0</x:v>
      </x:c>
      <x:c r="T35" s="52" t="n">
        <x:f>IF(COUNTA(L35)=0,"",L35-M35)</x:f>
        <x:v>0</x:v>
      </x:c>
      <x:c r="U35" s="52" t="n">
        <x:f>IF(COUNTA(Q35)=0,"",Q35-R35)</x:f>
        <x:v>0</x:v>
      </x:c>
      <x:c r="V35" s="49" t="str">
        <x:f>IF(COUNTA(F35)=0,"입사일 없음",IF(COUNTA(Q35)=0,"잔액 미생성",IF(OR(IF(COUNTA(S35)=0,FALSE,ABS(S35)&gt;0.01),IF(COUNTA(T35)=0,FALSE,ABS(T35)&gt;0.01),IF(COUNTA(U35)=0,FALSE,ABS(U35)&gt;0.01)),"확인 필요","정상")))</x:f>
        <x:v>정상</x:v>
      </x:c>
      <x:c r="W35" s="48" t="n">
        <x:v>0</x:v>
      </x:c>
      <x:c r="X35" s="49" t="str"/>
    </x:row>
    <x:row r="36">
      <x:c r="A36" s="49" t="str">
        <x:v>53dec6e9-e53e-4b71-87a5-750a82c87b02</x:v>
      </x:c>
      <x:c r="B36" s="49" t="str">
        <x:v>박철홍정형외과</x:v>
      </x:c>
      <x:c r="C36" s="49" t="str">
        <x:v>15</x:v>
      </x:c>
      <x:c r="D36" s="49" t="str">
        <x:v>이가연</x:v>
      </x:c>
      <x:c r="E36" s="49" t="str">
        <x:v>재직</x:v>
      </x:c>
      <x:c r="F36" s="47" t="n">
        <x:v>45177</x:v>
      </x:c>
      <x:c r="G36" s="48" t="n">
        <x:f>IF(F36="","",MAX(0,(YEAR('요약'!$B$3)-YEAR(F36))*12+MONTH('요약'!$B$3)-MONTH(F36)-IF(DAY('요약'!$B$3)&lt;DAY(F36),1,0)))</x:f>
        <x:v>34</x:v>
      </x:c>
      <x:c r="H36" s="47" t="n">
        <x:f>IF(F36="","",DATE(YEAR('요약'!$B$3)-IF(DATE(YEAR('요약'!$B$3),MONTH(F36),DAY(F36))&gt;'요약'!$B$3,1,0),MONTH(F36),DAY(F36)))</x:f>
        <x:v>45908</x:v>
      </x:c>
      <x:c r="I36" s="47" t="n">
        <x:f>IF(H36="","",DATE(YEAR(H36)+1,MONTH(H36),DAY(H36))-1)</x:f>
        <x:v>46272</x:v>
      </x:c>
      <x:c r="J36" s="50" t="n">
        <x:f>IF(F36="","",IF(G36&lt;12,MIN(11,G36),MIN(25,15+INT((G36-12)/24))))</x:f>
        <x:v>15</x:v>
      </x:c>
      <x:c r="K36" s="51" t="n">
        <x:v>15</x:v>
      </x:c>
      <x:c r="L36" s="51" t="n">
        <x:v>5.5</x:v>
      </x:c>
      <x:c r="M36" s="48" t="n">
        <x:f>SUMIFS('사용 원장'!$J$4:$J$302,'사용 원장'!$A$4:$A$302,A36,'사용 원장'!$E$4:$E$302,"&gt;="&amp;H36,'사용 원장'!$E$4:$E$302,"&lt;="&amp;I36)</x:f>
        <x:v>9.5</x:v>
      </x:c>
      <x:c r="N36" s="48" t="n">
        <x:v>6.5</x:v>
      </x:c>
      <x:c r="O36" s="51" t="n">
        <x:v>0</x:v>
      </x:c>
      <x:c r="P36" s="51" t="n">
        <x:v>0</x:v>
      </x:c>
      <x:c r="Q36" s="51" t="n">
        <x:v>9.5</x:v>
      </x:c>
      <x:c r="R36" s="52" t="n">
        <x:f>IF(COUNTA(Q36)=0,"",MAX(0,K36-L36-O36-P36))</x:f>
        <x:v>9.5</x:v>
      </x:c>
      <x:c r="S36" s="52" t="n">
        <x:f>IF(COUNTA(K36)=0,"",K36-J36)</x:f>
        <x:v>0</x:v>
      </x:c>
      <x:c r="T36" s="52" t="n">
        <x:f>IF(COUNTA(L36)=0,"",L36-M36)</x:f>
        <x:v>-4</x:v>
      </x:c>
      <x:c r="U36" s="52" t="n">
        <x:f>IF(COUNTA(Q36)=0,"",Q36-R36)</x:f>
        <x:v>0</x:v>
      </x:c>
      <x:c r="V36" s="49" t="str">
        <x:f>IF(COUNTA(F36)=0,"입사일 없음",IF(COUNTA(Q36)=0,"잔액 미생성",IF(OR(IF(COUNTA(S36)=0,FALSE,ABS(S36)&gt;0.01),IF(COUNTA(T36)=0,FALSE,ABS(T36)&gt;0.01),IF(COUNTA(U36)=0,FALSE,ABS(U36)&gt;0.01)),"확인 필요","정상")))</x:f>
        <x:v>확인 필요</x:v>
      </x:c>
      <x:c r="W36" s="48" t="n">
        <x:v>0</x:v>
      </x:c>
      <x:c r="X36" s="49" t="str"/>
    </x:row>
    <x:row r="37">
      <x:c r="A37" s="49" t="str">
        <x:v>ec518989-06ae-4511-a634-28cdd24c9d2f</x:v>
      </x:c>
      <x:c r="B37" s="49" t="str">
        <x:v>박철홍정형외과</x:v>
      </x:c>
      <x:c r="C37" s="49" t="str">
        <x:v>42</x:v>
      </x:c>
      <x:c r="D37" s="49" t="str">
        <x:v>이대성</x:v>
      </x:c>
      <x:c r="E37" s="49" t="str">
        <x:v>재직</x:v>
      </x:c>
      <x:c r="F37" s="47" t="n">
        <x:v>46041</x:v>
      </x:c>
      <x:c r="G37" s="48" t="n">
        <x:f>IF(F37="","",MAX(0,(YEAR('요약'!$B$3)-YEAR(F37))*12+MONTH('요약'!$B$3)-MONTH(F37)-IF(DAY('요약'!$B$3)&lt;DAY(F37),1,0)))</x:f>
        <x:v>6</x:v>
      </x:c>
      <x:c r="H37" s="47" t="n">
        <x:f>IF(F37="","",DATE(YEAR('요약'!$B$3)-IF(DATE(YEAR('요약'!$B$3),MONTH(F37),DAY(F37))&gt;'요약'!$B$3,1,0),MONTH(F37),DAY(F37)))</x:f>
        <x:v>46041</x:v>
      </x:c>
      <x:c r="I37" s="47" t="n">
        <x:f>IF(H37="","",DATE(YEAR(H37)+1,MONTH(H37),DAY(H37))-1)</x:f>
        <x:v>46405</x:v>
      </x:c>
      <x:c r="J37" s="50" t="n">
        <x:f>IF(F37="","",IF(G37&lt;12,MIN(11,G37),MIN(25,15+INT((G37-12)/24))))</x:f>
        <x:v>6</x:v>
      </x:c>
      <x:c r="K37" s="51" t="n">
        <x:v>5</x:v>
      </x:c>
      <x:c r="L37" s="51" t="n">
        <x:v>4</x:v>
      </x:c>
      <x:c r="M37" s="48" t="n">
        <x:f>SUMIFS('사용 원장'!$J$4:$J$302,'사용 원장'!$A$4:$A$302,A37,'사용 원장'!$E$4:$E$302,"&gt;="&amp;H37,'사용 원장'!$E$4:$E$302,"&lt;="&amp;I37)</x:f>
        <x:v>4</x:v>
      </x:c>
      <x:c r="N37" s="48" t="n">
        <x:v>4</x:v>
      </x:c>
      <x:c r="O37" s="51" t="n">
        <x:v>0</x:v>
      </x:c>
      <x:c r="P37" s="51" t="n">
        <x:v>0</x:v>
      </x:c>
      <x:c r="Q37" s="51" t="n">
        <x:v>1</x:v>
      </x:c>
      <x:c r="R37" s="52" t="n">
        <x:f>IF(COUNTA(Q37)=0,"",MAX(0,K37-L37-O37-P37))</x:f>
        <x:v>1</x:v>
      </x:c>
      <x:c r="S37" s="52" t="n">
        <x:f>IF(COUNTA(K37)=0,"",K37-J37)</x:f>
        <x:v>-1</x:v>
      </x:c>
      <x:c r="T37" s="52" t="n">
        <x:f>IF(COUNTA(L37)=0,"",L37-M37)</x:f>
        <x:v>0</x:v>
      </x:c>
      <x:c r="U37" s="52" t="n">
        <x:f>IF(COUNTA(Q37)=0,"",Q37-R37)</x:f>
        <x:v>0</x:v>
      </x:c>
      <x:c r="V37" s="49" t="str">
        <x:f>IF(COUNTA(F37)=0,"입사일 없음",IF(COUNTA(Q37)=0,"잔액 미생성",IF(OR(IF(COUNTA(S37)=0,FALSE,ABS(S37)&gt;0.01),IF(COUNTA(T37)=0,FALSE,ABS(T37)&gt;0.01),IF(COUNTA(U37)=0,FALSE,ABS(U37)&gt;0.01)),"확인 필요","정상")))</x:f>
        <x:v>확인 필요</x:v>
      </x:c>
      <x:c r="W37" s="48" t="n">
        <x:v>0</x:v>
      </x:c>
      <x:c r="X37" s="49" t="str"/>
    </x:row>
    <x:row r="38">
      <x:c r="A38" s="49" t="str">
        <x:v>e96c1d3f-6871-4ae0-a030-73f5e54136a9</x:v>
      </x:c>
      <x:c r="B38" s="49" t="str">
        <x:v>박철홍정형외과</x:v>
      </x:c>
      <x:c r="C38" s="49" t="str">
        <x:v>35</x:v>
      </x:c>
      <x:c r="D38" s="49" t="str">
        <x:v>이승현</x:v>
      </x:c>
      <x:c r="E38" s="49" t="str">
        <x:v>재직</x:v>
      </x:c>
      <x:c r="F38" s="47" t="n">
        <x:v>45870</x:v>
      </x:c>
      <x:c r="G38" s="48" t="n">
        <x:f>IF(F38="","",MAX(0,(YEAR('요약'!$B$3)-YEAR(F38))*12+MONTH('요약'!$B$3)-MONTH(F38)-IF(DAY('요약'!$B$3)&lt;DAY(F38),1,0)))</x:f>
        <x:v>11</x:v>
      </x:c>
      <x:c r="H38" s="47" t="n">
        <x:f>IF(F38="","",DATE(YEAR('요약'!$B$3)-IF(DATE(YEAR('요약'!$B$3),MONTH(F38),DAY(F38))&gt;'요약'!$B$3,1,0),MONTH(F38),DAY(F38)))</x:f>
        <x:v>45870</x:v>
      </x:c>
      <x:c r="I38" s="47" t="n">
        <x:f>IF(H38="","",DATE(YEAR(H38)+1,MONTH(H38),DAY(H38))-1)</x:f>
        <x:v>46234</x:v>
      </x:c>
      <x:c r="J38" s="50" t="n">
        <x:f>IF(F38="","",IF(G38&lt;12,MIN(11,G38),MIN(25,15+INT((G38-12)/24))))</x:f>
        <x:v>11</x:v>
      </x:c>
      <x:c r="K38" s="51" t="n">
        <x:v>11</x:v>
      </x:c>
      <x:c r="L38" s="51" t="n">
        <x:v>9</x:v>
      </x:c>
      <x:c r="M38" s="48" t="n">
        <x:f>SUMIFS('사용 원장'!$J$4:$J$302,'사용 원장'!$A$4:$A$302,A38,'사용 원장'!$E$4:$E$302,"&gt;="&amp;H38,'사용 원장'!$E$4:$E$302,"&lt;="&amp;I38)</x:f>
        <x:v>9</x:v>
      </x:c>
      <x:c r="N38" s="48" t="n">
        <x:v>6</x:v>
      </x:c>
      <x:c r="O38" s="51" t="n">
        <x:v>0</x:v>
      </x:c>
      <x:c r="P38" s="51" t="n">
        <x:v>0</x:v>
      </x:c>
      <x:c r="Q38" s="51" t="n">
        <x:v>2</x:v>
      </x:c>
      <x:c r="R38" s="52" t="n">
        <x:f>IF(COUNTA(Q38)=0,"",MAX(0,K38-L38-O38-P38))</x:f>
        <x:v>2</x:v>
      </x:c>
      <x:c r="S38" s="52" t="n">
        <x:f>IF(COUNTA(K38)=0,"",K38-J38)</x:f>
        <x:v>0</x:v>
      </x:c>
      <x:c r="T38" s="52" t="n">
        <x:f>IF(COUNTA(L38)=0,"",L38-M38)</x:f>
        <x:v>0</x:v>
      </x:c>
      <x:c r="U38" s="52" t="n">
        <x:f>IF(COUNTA(Q38)=0,"",Q38-R38)</x:f>
        <x:v>0</x:v>
      </x:c>
      <x:c r="V38" s="49" t="str">
        <x:f>IF(COUNTA(F38)=0,"입사일 없음",IF(COUNTA(Q38)=0,"잔액 미생성",IF(OR(IF(COUNTA(S38)=0,FALSE,ABS(S38)&gt;0.01),IF(COUNTA(T38)=0,FALSE,ABS(T38)&gt;0.01),IF(COUNTA(U38)=0,FALSE,ABS(U38)&gt;0.01)),"확인 필요","정상")))</x:f>
        <x:v>정상</x:v>
      </x:c>
      <x:c r="W38" s="48" t="n">
        <x:v>0</x:v>
      </x:c>
      <x:c r="X38" s="49" t="str"/>
    </x:row>
    <x:row r="39">
      <x:c r="A39" s="49" t="str">
        <x:v>33216f24-2468-4eee-80d1-e51b30249654</x:v>
      </x:c>
      <x:c r="B39" s="49" t="str">
        <x:v>박철홍정형외과</x:v>
      </x:c>
      <x:c r="C39" s="49" t="str">
        <x:v>36</x:v>
      </x:c>
      <x:c r="D39" s="49" t="str">
        <x:v>이지현</x:v>
      </x:c>
      <x:c r="E39" s="49" t="str">
        <x:v>재직</x:v>
      </x:c>
      <x:c r="F39" s="47" t="n">
        <x:v>45870</x:v>
      </x:c>
      <x:c r="G39" s="48" t="n">
        <x:f>IF(F39="","",MAX(0,(YEAR('요약'!$B$3)-YEAR(F39))*12+MONTH('요약'!$B$3)-MONTH(F39)-IF(DAY('요약'!$B$3)&lt;DAY(F39),1,0)))</x:f>
        <x:v>11</x:v>
      </x:c>
      <x:c r="H39" s="47" t="n">
        <x:f>IF(F39="","",DATE(YEAR('요약'!$B$3)-IF(DATE(YEAR('요약'!$B$3),MONTH(F39),DAY(F39))&gt;'요약'!$B$3,1,0),MONTH(F39),DAY(F39)))</x:f>
        <x:v>45870</x:v>
      </x:c>
      <x:c r="I39" s="47" t="n">
        <x:f>IF(H39="","",DATE(YEAR(H39)+1,MONTH(H39),DAY(H39))-1)</x:f>
        <x:v>46234</x:v>
      </x:c>
      <x:c r="J39" s="50" t="n">
        <x:f>IF(F39="","",IF(G39&lt;12,MIN(11,G39),MIN(25,15+INT((G39-12)/24))))</x:f>
        <x:v>11</x:v>
      </x:c>
      <x:c r="K39" s="51" t="n">
        <x:v>11</x:v>
      </x:c>
      <x:c r="L39" s="51" t="n">
        <x:v>7</x:v>
      </x:c>
      <x:c r="M39" s="48" t="n">
        <x:f>SUMIFS('사용 원장'!$J$4:$J$302,'사용 원장'!$A$4:$A$302,A39,'사용 원장'!$E$4:$E$302,"&gt;="&amp;H39,'사용 원장'!$E$4:$E$302,"&lt;="&amp;I39)</x:f>
        <x:v>8</x:v>
      </x:c>
      <x:c r="N39" s="48" t="n">
        <x:v>6</x:v>
      </x:c>
      <x:c r="O39" s="51" t="n">
        <x:v>0</x:v>
      </x:c>
      <x:c r="P39" s="51" t="n">
        <x:v>0</x:v>
      </x:c>
      <x:c r="Q39" s="51" t="n">
        <x:v>4</x:v>
      </x:c>
      <x:c r="R39" s="52" t="n">
        <x:f>IF(COUNTA(Q39)=0,"",MAX(0,K39-L39-O39-P39))</x:f>
        <x:v>4</x:v>
      </x:c>
      <x:c r="S39" s="52" t="n">
        <x:f>IF(COUNTA(K39)=0,"",K39-J39)</x:f>
        <x:v>0</x:v>
      </x:c>
      <x:c r="T39" s="52" t="n">
        <x:f>IF(COUNTA(L39)=0,"",L39-M39)</x:f>
        <x:v>-1</x:v>
      </x:c>
      <x:c r="U39" s="52" t="n">
        <x:f>IF(COUNTA(Q39)=0,"",Q39-R39)</x:f>
        <x:v>0</x:v>
      </x:c>
      <x:c r="V39" s="49" t="str">
        <x:f>IF(COUNTA(F39)=0,"입사일 없음",IF(COUNTA(Q39)=0,"잔액 미생성",IF(OR(IF(COUNTA(S39)=0,FALSE,ABS(S39)&gt;0.01),IF(COUNTA(T39)=0,FALSE,ABS(T39)&gt;0.01),IF(COUNTA(U39)=0,FALSE,ABS(U39)&gt;0.01)),"확인 필요","정상")))</x:f>
        <x:v>확인 필요</x:v>
      </x:c>
      <x:c r="W39" s="48" t="n">
        <x:v>0</x:v>
      </x:c>
      <x:c r="X39" s="49" t="str"/>
    </x:row>
    <x:row r="40">
      <x:c r="A40" s="49" t="str">
        <x:v>3f40505f-cac8-40c6-bb1d-1cec09e13729</x:v>
      </x:c>
      <x:c r="B40" s="49" t="str">
        <x:v>박철홍정형외과</x:v>
      </x:c>
      <x:c r="C40" s="49" t="str">
        <x:v>40</x:v>
      </x:c>
      <x:c r="D40" s="49" t="str">
        <x:v>정가영</x:v>
      </x:c>
      <x:c r="E40" s="49" t="str">
        <x:v>재직</x:v>
      </x:c>
      <x:c r="F40" s="47" t="n">
        <x:v>45979</x:v>
      </x:c>
      <x:c r="G40" s="48" t="n">
        <x:f>IF(F40="","",MAX(0,(YEAR('요약'!$B$3)-YEAR(F40))*12+MONTH('요약'!$B$3)-MONTH(F40)-IF(DAY('요약'!$B$3)&lt;DAY(F40),1,0)))</x:f>
        <x:v>8</x:v>
      </x:c>
      <x:c r="H40" s="47" t="n">
        <x:f>IF(F40="","",DATE(YEAR('요약'!$B$3)-IF(DATE(YEAR('요약'!$B$3),MONTH(F40),DAY(F40))&gt;'요약'!$B$3,1,0),MONTH(F40),DAY(F40)))</x:f>
        <x:v>45979</x:v>
      </x:c>
      <x:c r="I40" s="47" t="n">
        <x:f>IF(H40="","",DATE(YEAR(H40)+1,MONTH(H40),DAY(H40))-1)</x:f>
        <x:v>46343</x:v>
      </x:c>
      <x:c r="J40" s="50" t="n">
        <x:f>IF(F40="","",IF(G40&lt;12,MIN(11,G40),MIN(25,15+INT((G40-12)/24))))</x:f>
        <x:v>8</x:v>
      </x:c>
      <x:c r="K40" s="51" t="n">
        <x:v>7</x:v>
      </x:c>
      <x:c r="L40" s="51" t="n">
        <x:v>5</x:v>
      </x:c>
      <x:c r="M40" s="48" t="n">
        <x:f>SUMIFS('사용 원장'!$J$4:$J$302,'사용 원장'!$A$4:$A$302,A40,'사용 원장'!$E$4:$E$302,"&gt;="&amp;H40,'사용 원장'!$E$4:$E$302,"&lt;="&amp;I40)</x:f>
        <x:v>7</x:v>
      </x:c>
      <x:c r="N40" s="48" t="n">
        <x:v>6</x:v>
      </x:c>
      <x:c r="O40" s="51" t="n">
        <x:v>0</x:v>
      </x:c>
      <x:c r="P40" s="51" t="n">
        <x:v>0</x:v>
      </x:c>
      <x:c r="Q40" s="51" t="n">
        <x:v>2</x:v>
      </x:c>
      <x:c r="R40" s="52" t="n">
        <x:f>IF(COUNTA(Q40)=0,"",MAX(0,K40-L40-O40-P40))</x:f>
        <x:v>2</x:v>
      </x:c>
      <x:c r="S40" s="52" t="n">
        <x:f>IF(COUNTA(K40)=0,"",K40-J40)</x:f>
        <x:v>-1</x:v>
      </x:c>
      <x:c r="T40" s="52" t="n">
        <x:f>IF(COUNTA(L40)=0,"",L40-M40)</x:f>
        <x:v>-2</x:v>
      </x:c>
      <x:c r="U40" s="52" t="n">
        <x:f>IF(COUNTA(Q40)=0,"",Q40-R40)</x:f>
        <x:v>0</x:v>
      </x:c>
      <x:c r="V40" s="49" t="str">
        <x:f>IF(COUNTA(F40)=0,"입사일 없음",IF(COUNTA(Q40)=0,"잔액 미생성",IF(OR(IF(COUNTA(S40)=0,FALSE,ABS(S40)&gt;0.01),IF(COUNTA(T40)=0,FALSE,ABS(T40)&gt;0.01),IF(COUNTA(U40)=0,FALSE,ABS(U40)&gt;0.01)),"확인 필요","정상")))</x:f>
        <x:v>확인 필요</x:v>
      </x:c>
      <x:c r="W40" s="48" t="n">
        <x:v>0</x:v>
      </x:c>
      <x:c r="X40" s="49" t="str"/>
    </x:row>
    <x:row r="41">
      <x:c r="A41" s="49" t="str">
        <x:v>204e0284-18b6-450e-ae91-5da0c053a655</x:v>
      </x:c>
      <x:c r="B41" s="49" t="str">
        <x:v>박철홍정형외과</x:v>
      </x:c>
      <x:c r="C41" s="49" t="str">
        <x:v>21</x:v>
      </x:c>
      <x:c r="D41" s="49" t="str">
        <x:v>조숙현</x:v>
      </x:c>
      <x:c r="E41" s="49" t="str">
        <x:v>재직</x:v>
      </x:c>
      <x:c r="F41" s="47" t="n">
        <x:v>45488</x:v>
      </x:c>
      <x:c r="G41" s="48" t="n">
        <x:f>IF(F41="","",MAX(0,(YEAR('요약'!$B$3)-YEAR(F41))*12+MONTH('요약'!$B$3)-MONTH(F41)-IF(DAY('요약'!$B$3)&lt;DAY(F41),1,0)))</x:f>
        <x:v>24</x:v>
      </x:c>
      <x:c r="H41" s="47" t="n">
        <x:f>IF(F41="","",DATE(YEAR('요약'!$B$3)-IF(DATE(YEAR('요약'!$B$3),MONTH(F41),DAY(F41))&gt;'요약'!$B$3,1,0),MONTH(F41),DAY(F41)))</x:f>
        <x:v>46218</x:v>
      </x:c>
      <x:c r="I41" s="47" t="n">
        <x:f>IF(H41="","",DATE(YEAR(H41)+1,MONTH(H41),DAY(H41))-1)</x:f>
        <x:v>46582</x:v>
      </x:c>
      <x:c r="J41" s="50" t="n">
        <x:f>IF(F41="","",IF(G41&lt;12,MIN(11,G41),MIN(25,15+INT((G41-12)/24))))</x:f>
        <x:v>15</x:v>
      </x:c>
      <x:c r="K41" s="51" t="n">
        <x:v>15</x:v>
      </x:c>
      <x:c r="L41" s="51" t="n">
        <x:v>15</x:v>
      </x:c>
      <x:c r="M41" s="48" t="n">
        <x:f>SUMIFS('사용 원장'!$J$4:$J$302,'사용 원장'!$A$4:$A$302,A41,'사용 원장'!$E$4:$E$302,"&gt;="&amp;H41,'사용 원장'!$E$4:$E$302,"&lt;="&amp;I41)</x:f>
        <x:v>0</x:v>
      </x:c>
      <x:c r="N41" s="48" t="n">
        <x:v>15</x:v>
      </x:c>
      <x:c r="O41" s="51" t="n">
        <x:v>0</x:v>
      </x:c>
      <x:c r="P41" s="51" t="n">
        <x:v>0</x:v>
      </x:c>
      <x:c r="Q41" s="51" t="n">
        <x:v>0</x:v>
      </x:c>
      <x:c r="R41" s="52" t="n">
        <x:f>IF(COUNTA(Q41)=0,"",MAX(0,K41-L41-O41-P41))</x:f>
        <x:v>0</x:v>
      </x:c>
      <x:c r="S41" s="52" t="n">
        <x:f>IF(COUNTA(K41)=0,"",K41-J41)</x:f>
        <x:v>0</x:v>
      </x:c>
      <x:c r="T41" s="52" t="n">
        <x:f>IF(COUNTA(L41)=0,"",L41-M41)</x:f>
        <x:v>15</x:v>
      </x:c>
      <x:c r="U41" s="52" t="n">
        <x:f>IF(COUNTA(Q41)=0,"",Q41-R41)</x:f>
        <x:v>0</x:v>
      </x:c>
      <x:c r="V41" s="49" t="str">
        <x:f>IF(COUNTA(F41)=0,"입사일 없음",IF(COUNTA(Q41)=0,"잔액 미생성",IF(OR(IF(COUNTA(S41)=0,FALSE,ABS(S41)&gt;0.01),IF(COUNTA(T41)=0,FALSE,ABS(T41)&gt;0.01),IF(COUNTA(U41)=0,FALSE,ABS(U41)&gt;0.01)),"확인 필요","정상")))</x:f>
        <x:v>확인 필요</x:v>
      </x:c>
      <x:c r="W41" s="48" t="n">
        <x:v>0</x:v>
      </x:c>
      <x:c r="X41" s="49" t="str"/>
    </x:row>
    <x:row r="42">
      <x:c r="A42" s="49" t="str">
        <x:v>1b0bda03-c325-40d1-bc06-5d7db1d0b2d5</x:v>
      </x:c>
      <x:c r="B42" s="49" t="str">
        <x:v>박철홍정형외과</x:v>
      </x:c>
      <x:c r="C42" s="49" t="str">
        <x:v>20</x:v>
      </x:c>
      <x:c r="D42" s="49" t="str">
        <x:v>조현준</x:v>
      </x:c>
      <x:c r="E42" s="49" t="str">
        <x:v>재직</x:v>
      </x:c>
      <x:c r="F42" s="47" t="n">
        <x:v>45446</x:v>
      </x:c>
      <x:c r="G42" s="48" t="n">
        <x:f>IF(F42="","",MAX(0,(YEAR('요약'!$B$3)-YEAR(F42))*12+MONTH('요약'!$B$3)-MONTH(F42)-IF(DAY('요약'!$B$3)&lt;DAY(F42),1,0)))</x:f>
        <x:v>25</x:v>
      </x:c>
      <x:c r="H42" s="47" t="n">
        <x:f>IF(F42="","",DATE(YEAR('요약'!$B$3)-IF(DATE(YEAR('요약'!$B$3),MONTH(F42),DAY(F42))&gt;'요약'!$B$3,1,0),MONTH(F42),DAY(F42)))</x:f>
        <x:v>46176</x:v>
      </x:c>
      <x:c r="I42" s="47" t="n">
        <x:f>IF(H42="","",DATE(YEAR(H42)+1,MONTH(H42),DAY(H42))-1)</x:f>
        <x:v>46540</x:v>
      </x:c>
      <x:c r="J42" s="50" t="n">
        <x:f>IF(F42="","",IF(G42&lt;12,MIN(11,G42),MIN(25,15+INT((G42-12)/24))))</x:f>
        <x:v>15</x:v>
      </x:c>
      <x:c r="K42" s="51" t="n">
        <x:v>15</x:v>
      </x:c>
      <x:c r="L42" s="51" t="n">
        <x:v>3</x:v>
      </x:c>
      <x:c r="M42" s="48" t="n">
        <x:f>SUMIFS('사용 원장'!$J$4:$J$302,'사용 원장'!$A$4:$A$302,A42,'사용 원장'!$E$4:$E$302,"&gt;="&amp;H42,'사용 원장'!$E$4:$E$302,"&lt;="&amp;I42)</x:f>
        <x:v>3</x:v>
      </x:c>
      <x:c r="N42" s="48" t="n">
        <x:v>9</x:v>
      </x:c>
      <x:c r="O42" s="51" t="n">
        <x:v>0</x:v>
      </x:c>
      <x:c r="P42" s="51" t="n">
        <x:v>0</x:v>
      </x:c>
      <x:c r="Q42" s="51" t="n">
        <x:v>12</x:v>
      </x:c>
      <x:c r="R42" s="52" t="n">
        <x:f>IF(COUNTA(Q42)=0,"",MAX(0,K42-L42-O42-P42))</x:f>
        <x:v>12</x:v>
      </x:c>
      <x:c r="S42" s="52" t="n">
        <x:f>IF(COUNTA(K42)=0,"",K42-J42)</x:f>
        <x:v>0</x:v>
      </x:c>
      <x:c r="T42" s="52" t="n">
        <x:f>IF(COUNTA(L42)=0,"",L42-M42)</x:f>
        <x:v>0</x:v>
      </x:c>
      <x:c r="U42" s="52" t="n">
        <x:f>IF(COUNTA(Q42)=0,"",Q42-R42)</x:f>
        <x:v>0</x:v>
      </x:c>
      <x:c r="V42" s="49" t="str">
        <x:f>IF(COUNTA(F42)=0,"입사일 없음",IF(COUNTA(Q42)=0,"잔액 미생성",IF(OR(IF(COUNTA(S42)=0,FALSE,ABS(S42)&gt;0.01),IF(COUNTA(T42)=0,FALSE,ABS(T42)&gt;0.01),IF(COUNTA(U42)=0,FALSE,ABS(U42)&gt;0.01)),"확인 필요","정상")))</x:f>
        <x:v>정상</x:v>
      </x:c>
      <x:c r="W42" s="48" t="n">
        <x:v>2</x:v>
      </x:c>
      <x:c r="X42" s="49" t="str">
        <x:v>연차(부여) 2건</x:v>
      </x:c>
    </x:row>
    <x:row r="43">
      <x:c r="A43" s="49" t="str">
        <x:v>15233c63-f612-43ac-acbb-68ee58937f4c</x:v>
      </x:c>
      <x:c r="B43" s="49" t="str">
        <x:v>박철홍정형외과</x:v>
      </x:c>
      <x:c r="C43" s="49" t="str">
        <x:v>4</x:v>
      </x:c>
      <x:c r="D43" s="49" t="str">
        <x:v>지민수</x:v>
      </x:c>
      <x:c r="E43" s="49" t="str">
        <x:v>재직</x:v>
      </x:c>
      <x:c r="F43" s="47" t="n">
        <x:v>45901</x:v>
      </x:c>
      <x:c r="G43" s="48" t="n">
        <x:f>IF(F43="","",MAX(0,(YEAR('요약'!$B$3)-YEAR(F43))*12+MONTH('요약'!$B$3)-MONTH(F43)-IF(DAY('요약'!$B$3)&lt;DAY(F43),1,0)))</x:f>
        <x:v>10</x:v>
      </x:c>
      <x:c r="H43" s="47" t="n">
        <x:f>IF(F43="","",DATE(YEAR('요약'!$B$3)-IF(DATE(YEAR('요약'!$B$3),MONTH(F43),DAY(F43))&gt;'요약'!$B$3,1,0),MONTH(F43),DAY(F43)))</x:f>
        <x:v>45901</x:v>
      </x:c>
      <x:c r="I43" s="47" t="n">
        <x:f>IF(H43="","",DATE(YEAR(H43)+1,MONTH(H43),DAY(H43))-1)</x:f>
        <x:v>46265</x:v>
      </x:c>
      <x:c r="J43" s="50" t="n">
        <x:f>IF(F43="","",IF(G43&lt;12,MIN(11,G43),MIN(25,15+INT((G43-12)/24))))</x:f>
        <x:v>10</x:v>
      </x:c>
      <x:c r="K43" s="51" t="n">
        <x:v>10</x:v>
      </x:c>
      <x:c r="L43" s="51" t="n">
        <x:v>0</x:v>
      </x:c>
      <x:c r="M43" s="48" t="n">
        <x:f>SUMIFS('사용 원장'!$J$4:$J$302,'사용 원장'!$A$4:$A$302,A43,'사용 원장'!$E$4:$E$302,"&gt;="&amp;H43,'사용 원장'!$E$4:$E$302,"&lt;="&amp;I43)</x:f>
        <x:v>0</x:v>
      </x:c>
      <x:c r="N43" s="48" t="n">
        <x:v>0</x:v>
      </x:c>
      <x:c r="O43" s="51" t="n">
        <x:v>0</x:v>
      </x:c>
      <x:c r="P43" s="51" t="n">
        <x:v>0</x:v>
      </x:c>
      <x:c r="Q43" s="51" t="n">
        <x:v>10</x:v>
      </x:c>
      <x:c r="R43" s="52" t="n">
        <x:f>IF(COUNTA(Q43)=0,"",MAX(0,K43-L43-O43-P43))</x:f>
        <x:v>10</x:v>
      </x:c>
      <x:c r="S43" s="52" t="n">
        <x:f>IF(COUNTA(K43)=0,"",K43-J43)</x:f>
        <x:v>0</x:v>
      </x:c>
      <x:c r="T43" s="52" t="n">
        <x:f>IF(COUNTA(L43)=0,"",L43-M43)</x:f>
        <x:v>0</x:v>
      </x:c>
      <x:c r="U43" s="52" t="n">
        <x:f>IF(COUNTA(Q43)=0,"",Q43-R43)</x:f>
        <x:v>0</x:v>
      </x:c>
      <x:c r="V43" s="49" t="str">
        <x:f>IF(COUNTA(F43)=0,"입사일 없음",IF(COUNTA(Q43)=0,"잔액 미생성",IF(OR(IF(COUNTA(S43)=0,FALSE,ABS(S43)&gt;0.01),IF(COUNTA(T43)=0,FALSE,ABS(T43)&gt;0.01),IF(COUNTA(U43)=0,FALSE,ABS(U43)&gt;0.01)),"확인 필요","정상")))</x:f>
        <x:v>정상</x:v>
      </x:c>
      <x:c r="W43" s="48" t="n">
        <x:v>0</x:v>
      </x:c>
      <x:c r="X43" s="49" t="str"/>
    </x:row>
    <x:row r="44">
      <x:c r="A44" s="49" t="str">
        <x:v>604f9fcb-bab4-43f5-9fa5-137315d57050</x:v>
      </x:c>
      <x:c r="B44" s="49" t="str">
        <x:v>박철홍정형외과</x:v>
      </x:c>
      <x:c r="C44" s="49" t="str">
        <x:v>30</x:v>
      </x:c>
      <x:c r="D44" s="49" t="str">
        <x:v>진보경</x:v>
      </x:c>
      <x:c r="E44" s="49" t="str">
        <x:v>재직</x:v>
      </x:c>
      <x:c r="F44" s="47" t="n">
        <x:v>45778</x:v>
      </x:c>
      <x:c r="G44" s="48" t="n">
        <x:f>IF(F44="","",MAX(0,(YEAR('요약'!$B$3)-YEAR(F44))*12+MONTH('요약'!$B$3)-MONTH(F44)-IF(DAY('요약'!$B$3)&lt;DAY(F44),1,0)))</x:f>
        <x:v>14</x:v>
      </x:c>
      <x:c r="H44" s="47" t="n">
        <x:f>IF(F44="","",DATE(YEAR('요약'!$B$3)-IF(DATE(YEAR('요약'!$B$3),MONTH(F44),DAY(F44))&gt;'요약'!$B$3,1,0),MONTH(F44),DAY(F44)))</x:f>
        <x:v>46143</x:v>
      </x:c>
      <x:c r="I44" s="47" t="n">
        <x:f>IF(H44="","",DATE(YEAR(H44)+1,MONTH(H44),DAY(H44))-1)</x:f>
        <x:v>46507</x:v>
      </x:c>
      <x:c r="J44" s="50" t="n">
        <x:f>IF(F44="","",IF(G44&lt;12,MIN(11,G44),MIN(25,15+INT((G44-12)/24))))</x:f>
        <x:v>15</x:v>
      </x:c>
      <x:c r="K44" s="51" t="n">
        <x:v>15</x:v>
      </x:c>
      <x:c r="L44" s="51" t="n">
        <x:v>1</x:v>
      </x:c>
      <x:c r="M44" s="48" t="n">
        <x:f>SUMIFS('사용 원장'!$J$4:$J$302,'사용 원장'!$A$4:$A$302,A44,'사용 원장'!$E$4:$E$302,"&gt;="&amp;H44,'사용 원장'!$E$4:$E$302,"&lt;="&amp;I44)</x:f>
        <x:v>1</x:v>
      </x:c>
      <x:c r="N44" s="48" t="n">
        <x:v>8</x:v>
      </x:c>
      <x:c r="O44" s="51" t="n">
        <x:v>0</x:v>
      </x:c>
      <x:c r="P44" s="51" t="n">
        <x:v>0</x:v>
      </x:c>
      <x:c r="Q44" s="51" t="n">
        <x:v>14</x:v>
      </x:c>
      <x:c r="R44" s="52" t="n">
        <x:f>IF(COUNTA(Q44)=0,"",MAX(0,K44-L44-O44-P44))</x:f>
        <x:v>14</x:v>
      </x:c>
      <x:c r="S44" s="52" t="n">
        <x:f>IF(COUNTA(K44)=0,"",K44-J44)</x:f>
        <x:v>0</x:v>
      </x:c>
      <x:c r="T44" s="52" t="n">
        <x:f>IF(COUNTA(L44)=0,"",L44-M44)</x:f>
        <x:v>0</x:v>
      </x:c>
      <x:c r="U44" s="52" t="n">
        <x:f>IF(COUNTA(Q44)=0,"",Q44-R44)</x:f>
        <x:v>0</x:v>
      </x:c>
      <x:c r="V44" s="49" t="str">
        <x:f>IF(COUNTA(F44)=0,"입사일 없음",IF(COUNTA(Q44)=0,"잔액 미생성",IF(OR(IF(COUNTA(S44)=0,FALSE,ABS(S44)&gt;0.01),IF(COUNTA(T44)=0,FALSE,ABS(T44)&gt;0.01),IF(COUNTA(U44)=0,FALSE,ABS(U44)&gt;0.01)),"확인 필요","정상")))</x:f>
        <x:v>정상</x:v>
      </x:c>
      <x:c r="W44" s="48" t="n">
        <x:v>1</x:v>
      </x:c>
      <x:c r="X44" s="49" t="str">
        <x:v>연차(부여) 1건</x:v>
      </x:c>
    </x:row>
    <x:row r="45">
      <x:c r="A45" s="49" t="str">
        <x:v>ca0f216a-d22c-4036-8a7a-17f9f08889dd</x:v>
      </x:c>
      <x:c r="B45" s="49" t="str">
        <x:v>박철홍정형외과</x:v>
      </x:c>
      <x:c r="C45" s="49" t="str">
        <x:v>24</x:v>
      </x:c>
      <x:c r="D45" s="49" t="str">
        <x:v>최민정</x:v>
      </x:c>
      <x:c r="E45" s="49" t="str">
        <x:v>재직</x:v>
      </x:c>
      <x:c r="F45" s="47" t="n">
        <x:v>45645</x:v>
      </x:c>
      <x:c r="G45" s="48" t="n">
        <x:f>IF(F45="","",MAX(0,(YEAR('요약'!$B$3)-YEAR(F45))*12+MONTH('요약'!$B$3)-MONTH(F45)-IF(DAY('요약'!$B$3)&lt;DAY(F45),1,0)))</x:f>
        <x:v>19</x:v>
      </x:c>
      <x:c r="H45" s="47" t="n">
        <x:f>IF(F45="","",DATE(YEAR('요약'!$B$3)-IF(DATE(YEAR('요약'!$B$3),MONTH(F45),DAY(F45))&gt;'요약'!$B$3,1,0),MONTH(F45),DAY(F45)))</x:f>
        <x:v>46010</x:v>
      </x:c>
      <x:c r="I45" s="47" t="n">
        <x:f>IF(H45="","",DATE(YEAR(H45)+1,MONTH(H45),DAY(H45))-1)</x:f>
        <x:v>46374</x:v>
      </x:c>
      <x:c r="J45" s="50" t="n">
        <x:f>IF(F45="","",IF(G45&lt;12,MIN(11,G45),MIN(25,15+INT((G45-12)/24))))</x:f>
        <x:v>15</x:v>
      </x:c>
      <x:c r="K45" s="51" t="n">
        <x:v>15</x:v>
      </x:c>
      <x:c r="L45" s="51" t="n">
        <x:v>7</x:v>
      </x:c>
      <x:c r="M45" s="48" t="n">
        <x:f>SUMIFS('사용 원장'!$J$4:$J$302,'사용 원장'!$A$4:$A$302,A45,'사용 원장'!$E$4:$E$302,"&gt;="&amp;H45,'사용 원장'!$E$4:$E$302,"&lt;="&amp;I45)</x:f>
        <x:v>7</x:v>
      </x:c>
      <x:c r="N45" s="48" t="n">
        <x:v>7</x:v>
      </x:c>
      <x:c r="O45" s="51" t="n">
        <x:v>0</x:v>
      </x:c>
      <x:c r="P45" s="51" t="n">
        <x:v>0</x:v>
      </x:c>
      <x:c r="Q45" s="51" t="n">
        <x:v>8</x:v>
      </x:c>
      <x:c r="R45" s="52" t="n">
        <x:f>IF(COUNTA(Q45)=0,"",MAX(0,K45-L45-O45-P45))</x:f>
        <x:v>8</x:v>
      </x:c>
      <x:c r="S45" s="52" t="n">
        <x:f>IF(COUNTA(K45)=0,"",K45-J45)</x:f>
        <x:v>0</x:v>
      </x:c>
      <x:c r="T45" s="52" t="n">
        <x:f>IF(COUNTA(L45)=0,"",L45-M45)</x:f>
        <x:v>0</x:v>
      </x:c>
      <x:c r="U45" s="52" t="n">
        <x:f>IF(COUNTA(Q45)=0,"",Q45-R45)</x:f>
        <x:v>0</x:v>
      </x:c>
      <x:c r="V45" s="49" t="str">
        <x:f>IF(COUNTA(F45)=0,"입사일 없음",IF(COUNTA(Q45)=0,"잔액 미생성",IF(OR(IF(COUNTA(S45)=0,FALSE,ABS(S45)&gt;0.01),IF(COUNTA(T45)=0,FALSE,ABS(T45)&gt;0.01),IF(COUNTA(U45)=0,FALSE,ABS(U45)&gt;0.01)),"확인 필요","정상")))</x:f>
        <x:v>정상</x:v>
      </x:c>
      <x:c r="W45" s="48" t="n">
        <x:v>0</x:v>
      </x:c>
      <x:c r="X45" s="49" t="str"/>
    </x:row>
    <x:row r="46">
      <x:c r="A46" s="49" t="str">
        <x:v>5d5c0fdb-766a-449f-8c34-eb75c51e8cd5</x:v>
      </x:c>
      <x:c r="B46" s="49" t="str">
        <x:v>박철홍정형외과</x:v>
      </x:c>
      <x:c r="C46" s="49" t="str">
        <x:v>71</x:v>
      </x:c>
      <x:c r="D46" s="49" t="str">
        <x:v>최은선</x:v>
      </x:c>
      <x:c r="E46" s="49" t="str">
        <x:v>재직</x:v>
      </x:c>
      <x:c r="F46" s="47" t="n">
        <x:v>46178</x:v>
      </x:c>
      <x:c r="G46" s="48" t="n">
        <x:f>IF(F46="","",MAX(0,(YEAR('요약'!$B$3)-YEAR(F46))*12+MONTH('요약'!$B$3)-MONTH(F46)-IF(DAY('요약'!$B$3)&lt;DAY(F46),1,0)))</x:f>
        <x:v>1</x:v>
      </x:c>
      <x:c r="H46" s="47" t="n">
        <x:f>IF(F46="","",DATE(YEAR('요약'!$B$3)-IF(DATE(YEAR('요약'!$B$3),MONTH(F46),DAY(F46))&gt;'요약'!$B$3,1,0),MONTH(F46),DAY(F46)))</x:f>
        <x:v>46178</x:v>
      </x:c>
      <x:c r="I46" s="47" t="n">
        <x:f>IF(H46="","",DATE(YEAR(H46)+1,MONTH(H46),DAY(H46))-1)</x:f>
        <x:v>46542</x:v>
      </x:c>
      <x:c r="J46" s="50" t="n">
        <x:f>IF(F46="","",IF(G46&lt;12,MIN(11,G46),MIN(25,15+INT((G46-12)/24))))</x:f>
        <x:v>1</x:v>
      </x:c>
      <x:c r="K46" s="51" t="n">
        <x:v>1</x:v>
      </x:c>
      <x:c r="L46" s="51" t="n">
        <x:v>0</x:v>
      </x:c>
      <x:c r="M46" s="48" t="n">
        <x:f>SUMIFS('사용 원장'!$J$4:$J$302,'사용 원장'!$A$4:$A$302,A46,'사용 원장'!$E$4:$E$302,"&gt;="&amp;H46,'사용 원장'!$E$4:$E$302,"&lt;="&amp;I46)</x:f>
        <x:v>0</x:v>
      </x:c>
      <x:c r="N46" s="48" t="n">
        <x:v>0</x:v>
      </x:c>
      <x:c r="O46" s="51" t="n">
        <x:v>0</x:v>
      </x:c>
      <x:c r="P46" s="51" t="n">
        <x:v>0</x:v>
      </x:c>
      <x:c r="Q46" s="51" t="n">
        <x:v>1</x:v>
      </x:c>
      <x:c r="R46" s="52" t="n">
        <x:f>IF(COUNTA(Q46)=0,"",MAX(0,K46-L46-O46-P46))</x:f>
        <x:v>1</x:v>
      </x:c>
      <x:c r="S46" s="52" t="n">
        <x:f>IF(COUNTA(K46)=0,"",K46-J46)</x:f>
        <x:v>0</x:v>
      </x:c>
      <x:c r="T46" s="52" t="n">
        <x:f>IF(COUNTA(L46)=0,"",L46-M46)</x:f>
        <x:v>0</x:v>
      </x:c>
      <x:c r="U46" s="52" t="n">
        <x:f>IF(COUNTA(Q46)=0,"",Q46-R46)</x:f>
        <x:v>0</x:v>
      </x:c>
      <x:c r="V46" s="49" t="str">
        <x:f>IF(COUNTA(F46)=0,"입사일 없음",IF(COUNTA(Q46)=0,"잔액 미생성",IF(OR(IF(COUNTA(S46)=0,FALSE,ABS(S46)&gt;0.01),IF(COUNTA(T46)=0,FALSE,ABS(T46)&gt;0.01),IF(COUNTA(U46)=0,FALSE,ABS(U46)&gt;0.01)),"확인 필요","정상")))</x:f>
        <x:v>정상</x:v>
      </x:c>
      <x:c r="W46" s="48" t="n">
        <x:v>0</x:v>
      </x:c>
      <x:c r="X46" s="49" t="str"/>
    </x:row>
    <x:row r="47">
      <x:c r="A47" s="49" t="str">
        <x:v>3a9c25d2-2a29-4738-ae0a-b56e200a2990</x:v>
      </x:c>
      <x:c r="B47" s="49" t="str">
        <x:v>박철홍정형외과</x:v>
      </x:c>
      <x:c r="C47" s="49" t="str">
        <x:v>19</x:v>
      </x:c>
      <x:c r="D47" s="49" t="str">
        <x:v>최찬</x:v>
      </x:c>
      <x:c r="E47" s="49" t="str">
        <x:v>재직</x:v>
      </x:c>
      <x:c r="F47" s="47" t="n">
        <x:v>45412</x:v>
      </x:c>
      <x:c r="G47" s="48" t="n">
        <x:f>IF(F47="","",MAX(0,(YEAR('요약'!$B$3)-YEAR(F47))*12+MONTH('요약'!$B$3)-MONTH(F47)-IF(DAY('요약'!$B$3)&lt;DAY(F47),1,0)))</x:f>
        <x:v>26</x:v>
      </x:c>
      <x:c r="H47" s="47" t="n">
        <x:f>IF(F47="","",DATE(YEAR('요약'!$B$3)-IF(DATE(YEAR('요약'!$B$3),MONTH(F47),DAY(F47))&gt;'요약'!$B$3,1,0),MONTH(F47),DAY(F47)))</x:f>
        <x:v>46142</x:v>
      </x:c>
      <x:c r="I47" s="47" t="n">
        <x:f>IF(H47="","",DATE(YEAR(H47)+1,MONTH(H47),DAY(H47))-1)</x:f>
        <x:v>46506</x:v>
      </x:c>
      <x:c r="J47" s="50" t="n">
        <x:f>IF(F47="","",IF(G47&lt;12,MIN(11,G47),MIN(25,15+INT((G47-12)/24))))</x:f>
        <x:v>15</x:v>
      </x:c>
      <x:c r="K47" s="51" t="n">
        <x:v>15</x:v>
      </x:c>
      <x:c r="L47" s="51" t="n">
        <x:v>5</x:v>
      </x:c>
      <x:c r="M47" s="48" t="n">
        <x:f>SUMIFS('사용 원장'!$J$4:$J$302,'사용 원장'!$A$4:$A$302,A47,'사용 원장'!$E$4:$E$302,"&gt;="&amp;H47,'사용 원장'!$E$4:$E$302,"&lt;="&amp;I47)</x:f>
        <x:v>4</x:v>
      </x:c>
      <x:c r="N47" s="48" t="n">
        <x:v>5</x:v>
      </x:c>
      <x:c r="O47" s="51" t="n">
        <x:v>0</x:v>
      </x:c>
      <x:c r="P47" s="51" t="n">
        <x:v>0</x:v>
      </x:c>
      <x:c r="Q47" s="51" t="n">
        <x:v>10</x:v>
      </x:c>
      <x:c r="R47" s="52" t="n">
        <x:f>IF(COUNTA(Q47)=0,"",MAX(0,K47-L47-O47-P47))</x:f>
        <x:v>10</x:v>
      </x:c>
      <x:c r="S47" s="52" t="n">
        <x:f>IF(COUNTA(K47)=0,"",K47-J47)</x:f>
        <x:v>0</x:v>
      </x:c>
      <x:c r="T47" s="52" t="n">
        <x:f>IF(COUNTA(L47)=0,"",L47-M47)</x:f>
        <x:v>1</x:v>
      </x:c>
      <x:c r="U47" s="52" t="n">
        <x:f>IF(COUNTA(Q47)=0,"",Q47-R47)</x:f>
        <x:v>0</x:v>
      </x:c>
      <x:c r="V47" s="49" t="str">
        <x:f>IF(COUNTA(F47)=0,"입사일 없음",IF(COUNTA(Q47)=0,"잔액 미생성",IF(OR(IF(COUNTA(S47)=0,FALSE,ABS(S47)&gt;0.01),IF(COUNTA(T47)=0,FALSE,ABS(T47)&gt;0.01),IF(COUNTA(U47)=0,FALSE,ABS(U47)&gt;0.01)),"확인 필요","정상")))</x:f>
        <x:v>확인 필요</x:v>
      </x:c>
      <x:c r="W47" s="48" t="n">
        <x:v>0</x:v>
      </x:c>
      <x:c r="X47" s="49" t="str"/>
    </x:row>
    <x:row r="48">
      <x:c r="A48" s="49" t="str">
        <x:v>bc0ecd9d-9fd2-49b0-b042-6bb743538a6a</x:v>
      </x:c>
      <x:c r="B48" s="49" t="str">
        <x:v>박철홍정형외과</x:v>
      </x:c>
      <x:c r="C48" s="49" t="str">
        <x:v>32</x:v>
      </x:c>
      <x:c r="D48" s="49" t="str">
        <x:v>하순정</x:v>
      </x:c>
      <x:c r="E48" s="49" t="str">
        <x:v>재직</x:v>
      </x:c>
      <x:c r="F48" s="47" t="n">
        <x:v>45810</x:v>
      </x:c>
      <x:c r="G48" s="48" t="n">
        <x:f>IF(F48="","",MAX(0,(YEAR('요약'!$B$3)-YEAR(F48))*12+MONTH('요약'!$B$3)-MONTH(F48)-IF(DAY('요약'!$B$3)&lt;DAY(F48),1,0)))</x:f>
        <x:v>13</x:v>
      </x:c>
      <x:c r="H48" s="47" t="n">
        <x:f>IF(F48="","",DATE(YEAR('요약'!$B$3)-IF(DATE(YEAR('요약'!$B$3),MONTH(F48),DAY(F48))&gt;'요약'!$B$3,1,0),MONTH(F48),DAY(F48)))</x:f>
        <x:v>46175</x:v>
      </x:c>
      <x:c r="I48" s="47" t="n">
        <x:f>IF(H48="","",DATE(YEAR(H48)+1,MONTH(H48),DAY(H48))-1)</x:f>
        <x:v>46539</x:v>
      </x:c>
      <x:c r="J48" s="50" t="n">
        <x:f>IF(F48="","",IF(G48&lt;12,MIN(11,G48),MIN(25,15+INT((G48-12)/24))))</x:f>
        <x:v>15</x:v>
      </x:c>
      <x:c r="K48" s="51" t="n">
        <x:v>15</x:v>
      </x:c>
      <x:c r="L48" s="51" t="n">
        <x:v>1</x:v>
      </x:c>
      <x:c r="M48" s="48" t="n">
        <x:f>SUMIFS('사용 원장'!$J$4:$J$302,'사용 원장'!$A$4:$A$302,A48,'사용 원장'!$E$4:$E$302,"&gt;="&amp;H48,'사용 원장'!$E$4:$E$302,"&lt;="&amp;I48)</x:f>
        <x:v>2</x:v>
      </x:c>
      <x:c r="N48" s="48" t="n">
        <x:v>9</x:v>
      </x:c>
      <x:c r="O48" s="51" t="n">
        <x:v>0</x:v>
      </x:c>
      <x:c r="P48" s="51" t="n">
        <x:v>0</x:v>
      </x:c>
      <x:c r="Q48" s="51" t="n">
        <x:v>14</x:v>
      </x:c>
      <x:c r="R48" s="52" t="n">
        <x:f>IF(COUNTA(Q48)=0,"",MAX(0,K48-L48-O48-P48))</x:f>
        <x:v>14</x:v>
      </x:c>
      <x:c r="S48" s="52" t="n">
        <x:f>IF(COUNTA(K48)=0,"",K48-J48)</x:f>
        <x:v>0</x:v>
      </x:c>
      <x:c r="T48" s="52" t="n">
        <x:f>IF(COUNTA(L48)=0,"",L48-M48)</x:f>
        <x:v>-1</x:v>
      </x:c>
      <x:c r="U48" s="52" t="n">
        <x:f>IF(COUNTA(Q48)=0,"",Q48-R48)</x:f>
        <x:v>0</x:v>
      </x:c>
      <x:c r="V48" s="49" t="str">
        <x:f>IF(COUNTA(F48)=0,"입사일 없음",IF(COUNTA(Q48)=0,"잔액 미생성",IF(OR(IF(COUNTA(S48)=0,FALSE,ABS(S48)&gt;0.01),IF(COUNTA(T48)=0,FALSE,ABS(T48)&gt;0.01),IF(COUNTA(U48)=0,FALSE,ABS(U48)&gt;0.01)),"확인 필요","정상")))</x:f>
        <x:v>확인 필요</x:v>
      </x:c>
      <x:c r="W48" s="48" t="n">
        <x:v>0</x:v>
      </x:c>
      <x:c r="X48" s="49" t="str"/>
    </x:row>
    <x:row r="49">
      <x:c r="A49" s="49" t="str">
        <x:v>123a8b0d-d041-426c-aa79-f891a2d687a7</x:v>
      </x:c>
      <x:c r="B49" s="49" t="str">
        <x:v>박철홍정형외과</x:v>
      </x:c>
      <x:c r="C49" s="49" t="str">
        <x:v>5</x:v>
      </x:c>
      <x:c r="D49" s="49" t="str">
        <x:v>홍자비</x:v>
      </x:c>
      <x:c r="E49" s="49" t="str">
        <x:v>재직</x:v>
      </x:c>
      <x:c r="F49" s="47" t="n">
        <x:v>45223</x:v>
      </x:c>
      <x:c r="G49" s="48" t="n">
        <x:f>IF(F49="","",MAX(0,(YEAR('요약'!$B$3)-YEAR(F49))*12+MONTH('요약'!$B$3)-MONTH(F49)-IF(DAY('요약'!$B$3)&lt;DAY(F49),1,0)))</x:f>
        <x:v>32</x:v>
      </x:c>
      <x:c r="H49" s="47" t="n">
        <x:f>IF(F49="","",DATE(YEAR('요약'!$B$3)-IF(DATE(YEAR('요약'!$B$3),MONTH(F49),DAY(F49))&gt;'요약'!$B$3,1,0),MONTH(F49),DAY(F49)))</x:f>
        <x:v>45954</x:v>
      </x:c>
      <x:c r="I49" s="47" t="n">
        <x:f>IF(H49="","",DATE(YEAR(H49)+1,MONTH(H49),DAY(H49))-1)</x:f>
        <x:v>46318</x:v>
      </x:c>
      <x:c r="J49" s="50" t="n">
        <x:f>IF(F49="","",IF(G49&lt;12,MIN(11,G49),MIN(25,15+INT((G49-12)/24))))</x:f>
        <x:v>15</x:v>
      </x:c>
      <x:c r="K49" s="51" t="n">
        <x:v>15</x:v>
      </x:c>
      <x:c r="L49" s="51" t="n">
        <x:v>9.5</x:v>
      </x:c>
      <x:c r="M49" s="48" t="n">
        <x:f>SUMIFS('사용 원장'!$J$4:$J$302,'사용 원장'!$A$4:$A$302,A49,'사용 원장'!$E$4:$E$302,"&gt;="&amp;H49,'사용 원장'!$E$4:$E$302,"&lt;="&amp;I49)</x:f>
        <x:v>13.5</x:v>
      </x:c>
      <x:c r="N49" s="48" t="n">
        <x:v>9.5</x:v>
      </x:c>
      <x:c r="O49" s="51" t="n">
        <x:v>0</x:v>
      </x:c>
      <x:c r="P49" s="51" t="n">
        <x:v>0</x:v>
      </x:c>
      <x:c r="Q49" s="51" t="n">
        <x:v>5.5</x:v>
      </x:c>
      <x:c r="R49" s="52" t="n">
        <x:f>IF(COUNTA(Q49)=0,"",MAX(0,K49-L49-O49-P49))</x:f>
        <x:v>5.5</x:v>
      </x:c>
      <x:c r="S49" s="52" t="n">
        <x:f>IF(COUNTA(K49)=0,"",K49-J49)</x:f>
        <x:v>0</x:v>
      </x:c>
      <x:c r="T49" s="52" t="n">
        <x:f>IF(COUNTA(L49)=0,"",L49-M49)</x:f>
        <x:v>-4</x:v>
      </x:c>
      <x:c r="U49" s="52" t="n">
        <x:f>IF(COUNTA(Q49)=0,"",Q49-R49)</x:f>
        <x:v>0</x:v>
      </x:c>
      <x:c r="V49" s="49" t="str">
        <x:f>IF(COUNTA(F49)=0,"입사일 없음",IF(COUNTA(Q49)=0,"잔액 미생성",IF(OR(IF(COUNTA(S49)=0,FALSE,ABS(S49)&gt;0.01),IF(COUNTA(T49)=0,FALSE,ABS(T49)&gt;0.01),IF(COUNTA(U49)=0,FALSE,ABS(U49)&gt;0.01)),"확인 필요","정상")))</x:f>
        <x:v>확인 필요</x:v>
      </x:c>
      <x:c r="W49" s="48" t="n">
        <x:v>0</x:v>
      </x:c>
      <x:c r="X49" s="49" t="str"/>
    </x:row>
    <x:row r="50">
      <x:c r="A50" s="49" t="str">
        <x:v>f3f7e5cb-11c5-4ffd-a7b9-8025d5171e48</x:v>
      </x:c>
      <x:c r="B50" s="49" t="str">
        <x:v>수연의원</x:v>
      </x:c>
      <x:c r="C50" s="49" t="str">
        <x:v>72</x:v>
      </x:c>
      <x:c r="D50" s="49" t="str">
        <x:v>김성미</x:v>
      </x:c>
      <x:c r="E50" s="49" t="str">
        <x:v>재직</x:v>
      </x:c>
      <x:c r="F50" s="47" t="n">
        <x:v>45310</x:v>
      </x:c>
      <x:c r="G50" s="48" t="n">
        <x:f>IF(F50="","",MAX(0,(YEAR('요약'!$B$3)-YEAR(F50))*12+MONTH('요약'!$B$3)-MONTH(F50)-IF(DAY('요약'!$B$3)&lt;DAY(F50),1,0)))</x:f>
        <x:v>30</x:v>
      </x:c>
      <x:c r="H50" s="47" t="n">
        <x:f>IF(F50="","",DATE(YEAR('요약'!$B$3)-IF(DATE(YEAR('요약'!$B$3),MONTH(F50),DAY(F50))&gt;'요약'!$B$3,1,0),MONTH(F50),DAY(F50)))</x:f>
        <x:v>46041</x:v>
      </x:c>
      <x:c r="I50" s="47" t="n">
        <x:f>IF(H50="","",DATE(YEAR(H50)+1,MONTH(H50),DAY(H50))-1)</x:f>
        <x:v>46405</x:v>
      </x:c>
      <x:c r="J50" s="50" t="n">
        <x:f>IF(F50="","",IF(G50&lt;12,MIN(11,G50),MIN(25,15+INT((G50-12)/24))))</x:f>
        <x:v>15</x:v>
      </x:c>
      <x:c r="K50" s="51" t="n">
        <x:v>15</x:v>
      </x:c>
      <x:c r="L50" s="51" t="n">
        <x:v>0</x:v>
      </x:c>
      <x:c r="M50" s="48" t="n">
        <x:f>SUMIFS('사용 원장'!$J$4:$J$302,'사용 원장'!$A$4:$A$302,A50,'사용 원장'!$E$4:$E$302,"&gt;="&amp;H50,'사용 원장'!$E$4:$E$302,"&lt;="&amp;I50)</x:f>
        <x:v>0</x:v>
      </x:c>
      <x:c r="N50" s="48" t="n">
        <x:v>0</x:v>
      </x:c>
      <x:c r="O50" s="51" t="n">
        <x:v>0</x:v>
      </x:c>
      <x:c r="P50" s="51" t="n">
        <x:v>0</x:v>
      </x:c>
      <x:c r="Q50" s="51" t="n">
        <x:v>15</x:v>
      </x:c>
      <x:c r="R50" s="52" t="n">
        <x:f>IF(COUNTA(Q50)=0,"",MAX(0,K50-L50-O50-P50))</x:f>
        <x:v>15</x:v>
      </x:c>
      <x:c r="S50" s="52" t="n">
        <x:f>IF(COUNTA(K50)=0,"",K50-J50)</x:f>
        <x:v>0</x:v>
      </x:c>
      <x:c r="T50" s="52" t="n">
        <x:f>IF(COUNTA(L50)=0,"",L50-M50)</x:f>
        <x:v>0</x:v>
      </x:c>
      <x:c r="U50" s="52" t="n">
        <x:f>IF(COUNTA(Q50)=0,"",Q50-R50)</x:f>
        <x:v>0</x:v>
      </x:c>
      <x:c r="V50" s="49" t="str">
        <x:f>IF(COUNTA(F50)=0,"입사일 없음",IF(COUNTA(Q50)=0,"잔액 미생성",IF(OR(IF(COUNTA(S50)=0,FALSE,ABS(S50)&gt;0.01),IF(COUNTA(T50)=0,FALSE,ABS(T50)&gt;0.01),IF(COUNTA(U50)=0,FALSE,ABS(U50)&gt;0.01)),"확인 필요","정상")))</x:f>
        <x:v>정상</x:v>
      </x:c>
      <x:c r="W50" s="48" t="n">
        <x:v>0</x:v>
      </x:c>
      <x:c r="X50" s="49" t="str"/>
    </x:row>
    <x:row r="51">
      <x:c r="A51" s="49" t="str">
        <x:v>fd9cb6d9-5aff-457e-82d6-38ccf7e6758d</x:v>
      </x:c>
      <x:c r="B51" s="49" t="str">
        <x:v>수연의원</x:v>
      </x:c>
      <x:c r="C51" s="49" t="str">
        <x:v>51</x:v>
      </x:c>
      <x:c r="D51" s="49" t="str">
        <x:v>박수연</x:v>
      </x:c>
      <x:c r="E51" s="49" t="str">
        <x:v>재직</x:v>
      </x:c>
      <x:c r="F51" s="47" t="n">
        <x:v>45766</x:v>
      </x:c>
      <x:c r="G51" s="48" t="n">
        <x:f>IF(F51="","",MAX(0,(YEAR('요약'!$B$3)-YEAR(F51))*12+MONTH('요약'!$B$3)-MONTH(F51)-IF(DAY('요약'!$B$3)&lt;DAY(F51),1,0)))</x:f>
        <x:v>15</x:v>
      </x:c>
      <x:c r="H51" s="47" t="n">
        <x:f>IF(F51="","",DATE(YEAR('요약'!$B$3)-IF(DATE(YEAR('요약'!$B$3),MONTH(F51),DAY(F51))&gt;'요약'!$B$3,1,0),MONTH(F51),DAY(F51)))</x:f>
        <x:v>46131</x:v>
      </x:c>
      <x:c r="I51" s="47" t="n">
        <x:f>IF(H51="","",DATE(YEAR(H51)+1,MONTH(H51),DAY(H51))-1)</x:f>
        <x:v>46495</x:v>
      </x:c>
      <x:c r="J51" s="50" t="n">
        <x:f>IF(F51="","",IF(G51&lt;12,MIN(11,G51),MIN(25,15+INT((G51-12)/24))))</x:f>
        <x:v>15</x:v>
      </x:c>
      <x:c r="K51" s="51" t="n">
        <x:v>15</x:v>
      </x:c>
      <x:c r="L51" s="51" t="n">
        <x:v>0</x:v>
      </x:c>
      <x:c r="M51" s="48" t="n">
        <x:f>SUMIFS('사용 원장'!$J$4:$J$302,'사용 원장'!$A$4:$A$302,A51,'사용 원장'!$E$4:$E$302,"&gt;="&amp;H51,'사용 원장'!$E$4:$E$302,"&lt;="&amp;I51)</x:f>
        <x:v>0</x:v>
      </x:c>
      <x:c r="N51" s="48" t="n">
        <x:v>0</x:v>
      </x:c>
      <x:c r="O51" s="51" t="n">
        <x:v>0</x:v>
      </x:c>
      <x:c r="P51" s="51" t="n">
        <x:v>0</x:v>
      </x:c>
      <x:c r="Q51" s="51" t="n">
        <x:v>15</x:v>
      </x:c>
      <x:c r="R51" s="52" t="n">
        <x:f>IF(COUNTA(Q51)=0,"",MAX(0,K51-L51-O51-P51))</x:f>
        <x:v>15</x:v>
      </x:c>
      <x:c r="S51" s="52" t="n">
        <x:f>IF(COUNTA(K51)=0,"",K51-J51)</x:f>
        <x:v>0</x:v>
      </x:c>
      <x:c r="T51" s="52" t="n">
        <x:f>IF(COUNTA(L51)=0,"",L51-M51)</x:f>
        <x:v>0</x:v>
      </x:c>
      <x:c r="U51" s="52" t="n">
        <x:f>IF(COUNTA(Q51)=0,"",Q51-R51)</x:f>
        <x:v>0</x:v>
      </x:c>
      <x:c r="V51" s="49" t="str">
        <x:f>IF(COUNTA(F51)=0,"입사일 없음",IF(COUNTA(Q51)=0,"잔액 미생성",IF(OR(IF(COUNTA(S51)=0,FALSE,ABS(S51)&gt;0.01),IF(COUNTA(T51)=0,FALSE,ABS(T51)&gt;0.01),IF(COUNTA(U51)=0,FALSE,ABS(U51)&gt;0.01)),"확인 필요","정상")))</x:f>
        <x:v>정상</x:v>
      </x:c>
      <x:c r="W51" s="48" t="n">
        <x:v>0</x:v>
      </x:c>
      <x:c r="X51" s="49" t="str"/>
    </x:row>
    <x:row r="52">
      <x:c r="A52" s="49" t="str">
        <x:v>e0d8a099-4530-4337-917c-0af69883a4fa</x:v>
      </x:c>
      <x:c r="B52" s="49" t="str">
        <x:v>수연의원</x:v>
      </x:c>
      <x:c r="C52" s="49" t="str">
        <x:v>52</x:v>
      </x:c>
      <x:c r="D52" s="49" t="str">
        <x:v>박영민</x:v>
      </x:c>
      <x:c r="E52" s="49" t="str">
        <x:v>재직</x:v>
      </x:c>
      <x:c r="F52" s="47" t="n">
        <x:v>45978</x:v>
      </x:c>
      <x:c r="G52" s="48" t="n">
        <x:f>IF(F52="","",MAX(0,(YEAR('요약'!$B$3)-YEAR(F52))*12+MONTH('요약'!$B$3)-MONTH(F52)-IF(DAY('요약'!$B$3)&lt;DAY(F52),1,0)))</x:f>
        <x:v>8</x:v>
      </x:c>
      <x:c r="H52" s="47" t="n">
        <x:f>IF(F52="","",DATE(YEAR('요약'!$B$3)-IF(DATE(YEAR('요약'!$B$3),MONTH(F52),DAY(F52))&gt;'요약'!$B$3,1,0),MONTH(F52),DAY(F52)))</x:f>
        <x:v>45978</x:v>
      </x:c>
      <x:c r="I52" s="47" t="n">
        <x:f>IF(H52="","",DATE(YEAR(H52)+1,MONTH(H52),DAY(H52))-1)</x:f>
        <x:v>46342</x:v>
      </x:c>
      <x:c r="J52" s="50" t="n">
        <x:f>IF(F52="","",IF(G52&lt;12,MIN(11,G52),MIN(25,15+INT((G52-12)/24))))</x:f>
        <x:v>8</x:v>
      </x:c>
      <x:c r="K52" s="51" t="n">
        <x:v>7</x:v>
      </x:c>
      <x:c r="L52" s="51" t="n">
        <x:v>0</x:v>
      </x:c>
      <x:c r="M52" s="48" t="n">
        <x:f>SUMIFS('사용 원장'!$J$4:$J$302,'사용 원장'!$A$4:$A$302,A52,'사용 원장'!$E$4:$E$302,"&gt;="&amp;H52,'사용 원장'!$E$4:$E$302,"&lt;="&amp;I52)</x:f>
        <x:v>0</x:v>
      </x:c>
      <x:c r="N52" s="48" t="n">
        <x:v>0</x:v>
      </x:c>
      <x:c r="O52" s="51" t="n">
        <x:v>0</x:v>
      </x:c>
      <x:c r="P52" s="51" t="n">
        <x:v>0</x:v>
      </x:c>
      <x:c r="Q52" s="51" t="n">
        <x:v>7</x:v>
      </x:c>
      <x:c r="R52" s="52" t="n">
        <x:f>IF(COUNTA(Q52)=0,"",MAX(0,K52-L52-O52-P52))</x:f>
        <x:v>7</x:v>
      </x:c>
      <x:c r="S52" s="52" t="n">
        <x:f>IF(COUNTA(K52)=0,"",K52-J52)</x:f>
        <x:v>-1</x:v>
      </x:c>
      <x:c r="T52" s="52" t="n">
        <x:f>IF(COUNTA(L52)=0,"",L52-M52)</x:f>
        <x:v>0</x:v>
      </x:c>
      <x:c r="U52" s="52" t="n">
        <x:f>IF(COUNTA(Q52)=0,"",Q52-R52)</x:f>
        <x:v>0</x:v>
      </x:c>
      <x:c r="V52" s="49" t="str">
        <x:f>IF(COUNTA(F52)=0,"입사일 없음",IF(COUNTA(Q52)=0,"잔액 미생성",IF(OR(IF(COUNTA(S52)=0,FALSE,ABS(S52)&gt;0.01),IF(COUNTA(T52)=0,FALSE,ABS(T52)&gt;0.01),IF(COUNTA(U52)=0,FALSE,ABS(U52)&gt;0.01)),"확인 필요","정상")))</x:f>
        <x:v>확인 필요</x:v>
      </x:c>
      <x:c r="W52" s="48" t="n">
        <x:v>0</x:v>
      </x:c>
      <x:c r="X52" s="49" t="str"/>
    </x:row>
    <x:row r="53">
      <x:c r="A53" s="49" t="str">
        <x:v>47055a68-ed68-4832-9319-99a5c70084da</x:v>
      </x:c>
      <x:c r="B53" s="49" t="str">
        <x:v>수연의원</x:v>
      </x:c>
      <x:c r="C53" s="49" t="str">
        <x:v>50</x:v>
      </x:c>
      <x:c r="D53" s="49" t="str">
        <x:v>정경란</x:v>
      </x:c>
      <x:c r="E53" s="49" t="str">
        <x:v>재직</x:v>
      </x:c>
      <x:c r="F53" s="47" t="n">
        <x:v>45446</x:v>
      </x:c>
      <x:c r="G53" s="48" t="n">
        <x:f>IF(F53="","",MAX(0,(YEAR('요약'!$B$3)-YEAR(F53))*12+MONTH('요약'!$B$3)-MONTH(F53)-IF(DAY('요약'!$B$3)&lt;DAY(F53),1,0)))</x:f>
        <x:v>25</x:v>
      </x:c>
      <x:c r="H53" s="47" t="n">
        <x:f>IF(F53="","",DATE(YEAR('요약'!$B$3)-IF(DATE(YEAR('요약'!$B$3),MONTH(F53),DAY(F53))&gt;'요약'!$B$3,1,0),MONTH(F53),DAY(F53)))</x:f>
        <x:v>46176</x:v>
      </x:c>
      <x:c r="I53" s="47" t="n">
        <x:f>IF(H53="","",DATE(YEAR(H53)+1,MONTH(H53),DAY(H53))-1)</x:f>
        <x:v>46540</x:v>
      </x:c>
      <x:c r="J53" s="50" t="n">
        <x:f>IF(F53="","",IF(G53&lt;12,MIN(11,G53),MIN(25,15+INT((G53-12)/24))))</x:f>
        <x:v>15</x:v>
      </x:c>
      <x:c r="K53" s="51" t="n">
        <x:v>15</x:v>
      </x:c>
      <x:c r="L53" s="51" t="n">
        <x:v>0</x:v>
      </x:c>
      <x:c r="M53" s="48" t="n">
        <x:f>SUMIFS('사용 원장'!$J$4:$J$302,'사용 원장'!$A$4:$A$302,A53,'사용 원장'!$E$4:$E$302,"&gt;="&amp;H53,'사용 원장'!$E$4:$E$302,"&lt;="&amp;I53)</x:f>
        <x:v>0</x:v>
      </x:c>
      <x:c r="N53" s="48" t="n">
        <x:v>0</x:v>
      </x:c>
      <x:c r="O53" s="51" t="n">
        <x:v>0</x:v>
      </x:c>
      <x:c r="P53" s="51" t="n">
        <x:v>0</x:v>
      </x:c>
      <x:c r="Q53" s="51" t="n">
        <x:v>15</x:v>
      </x:c>
      <x:c r="R53" s="52" t="n">
        <x:f>IF(COUNTA(Q53)=0,"",MAX(0,K53-L53-O53-P53))</x:f>
        <x:v>15</x:v>
      </x:c>
      <x:c r="S53" s="52" t="n">
        <x:f>IF(COUNTA(K53)=0,"",K53-J53)</x:f>
        <x:v>0</x:v>
      </x:c>
      <x:c r="T53" s="52" t="n">
        <x:f>IF(COUNTA(L53)=0,"",L53-M53)</x:f>
        <x:v>0</x:v>
      </x:c>
      <x:c r="U53" s="52" t="n">
        <x:f>IF(COUNTA(Q53)=0,"",Q53-R53)</x:f>
        <x:v>0</x:v>
      </x:c>
      <x:c r="V53" s="49" t="str">
        <x:f>IF(COUNTA(F53)=0,"입사일 없음",IF(COUNTA(Q53)=0,"잔액 미생성",IF(OR(IF(COUNTA(S53)=0,FALSE,ABS(S53)&gt;0.01),IF(COUNTA(T53)=0,FALSE,ABS(T53)&gt;0.01),IF(COUNTA(U53)=0,FALSE,ABS(U53)&gt;0.01)),"확인 필요","정상")))</x:f>
        <x:v>정상</x:v>
      </x:c>
      <x:c r="W53" s="48" t="n">
        <x:v>0</x:v>
      </x:c>
      <x:c r="X53" s="49" t="str"/>
    </x:row>
  </x:sheetData>
  <x:mergeCells>
    <x:mergeCell ref="A1:X1"/>
    <x:mergeCell ref="A3:X4"/>
  </x:mergeCells>
  <x:conditionalFormatting sqref="V7:V53">
    <x:cfRule type="containsText" dxfId="0" priority="1" operator="containsText" text="확인 필요"/>
    <x:cfRule type="containsText" dxfId="1" priority="2" operator="containsText" text="잔액 미생성"/>
  </x:conditionalFormatting>
  <x:pageMargins left="0.7" right="0.7" top="0.75" bottom="0.75" header="0.3" footer="0.3"/>
  <x:tableParts count="1">
    <x:tablePart xmlns:r="http://schemas.openxmlformats.org/officeDocument/2006/relationships" r:id="R828c30fcb93741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42" hidden="0" customWidth="1"/>
    <x:col min="10" max="10" width="20" hidden="0" customWidth="1"/>
  </x:cols>
  <x:sheetData>
    <x:row r="1">
      <x:c r="A1" s="54" t="str">
        <x:v>발생 원장 (leave_accruals) — 실제 DB 원본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3">
      <x:c r="A3" s="55" t="str">
        <x:v>직원 ID</x:v>
      </x:c>
      <x:c r="B3" s="55" t="str">
        <x:v>회사</x:v>
      </x:c>
      <x:c r="C3" s="55" t="str">
        <x:v>직원명</x:v>
      </x:c>
      <x:c r="D3" s="55" t="str">
        <x:v>구분</x:v>
      </x:c>
      <x:c r="E3" s="55" t="str">
        <x:v>기간키</x:v>
      </x:c>
      <x:c r="F3" s="55" t="str">
        <x:v>일수</x:v>
      </x:c>
      <x:c r="G3" s="55" t="str">
        <x:v>연도</x:v>
      </x:c>
      <x:c r="H3" s="55" t="str">
        <x:v>발생일</x:v>
      </x:c>
      <x:c r="I3" s="55" t="str">
        <x:v>비고</x:v>
      </x:c>
      <x:c r="J3" s="55" t="str">
        <x:v>생성일</x:v>
      </x:c>
    </x:row>
    <x:row r="4">
      <x:c r="A4" t="str">
        <x:v>76ddb717-6f2f-46ee-aa76-1db2ae11f359</x:v>
      </x:c>
      <x:c r="B4" t="str">
        <x:v>SY INC.</x:v>
      </x:c>
      <x:c r="C4" t="str">
        <x:v>김이지</x:v>
      </x:c>
      <x:c r="D4" t="str">
        <x:v>monthly</x:v>
      </x:c>
      <x:c r="E4" t="str">
        <x:v>2024-08</x:v>
      </x:c>
      <x:c r="F4" s="56" t="n">
        <x:v>1</x:v>
      </x:c>
      <x:c r="G4" s="57" t="n">
        <x:v>2024</x:v>
      </x:c>
      <x:c r="H4" s="47" t="n">
        <x:v>46202</x:v>
      </x:c>
      <x:c r="I4" t="str">
        <x:v>1개 월차 만근 소급</x:v>
      </x:c>
      <x:c r="J4" s="58" t="n">
        <x:v>46202</x:v>
      </x:c>
    </x:row>
    <x:row r="5">
      <x:c r="A5" t="str">
        <x:v>76ddb717-6f2f-46ee-aa76-1db2ae11f359</x:v>
      </x:c>
      <x:c r="B5" t="str">
        <x:v>SY INC.</x:v>
      </x:c>
      <x:c r="C5" t="str">
        <x:v>김이지</x:v>
      </x:c>
      <x:c r="D5" t="str">
        <x:v>monthly</x:v>
      </x:c>
      <x:c r="E5" t="str">
        <x:v>2024-09</x:v>
      </x:c>
      <x:c r="F5" s="56" t="n">
        <x:v>1</x:v>
      </x:c>
      <x:c r="G5" s="57" t="n">
        <x:v>2024</x:v>
      </x:c>
      <x:c r="H5" s="47" t="n">
        <x:v>46202</x:v>
      </x:c>
      <x:c r="I5" t="str">
        <x:v>2개 월차 만근 소급</x:v>
      </x:c>
      <x:c r="J5" s="58" t="n">
        <x:v>46202</x:v>
      </x:c>
    </x:row>
    <x:row r="6">
      <x:c r="A6" t="str">
        <x:v>76ddb717-6f2f-46ee-aa76-1db2ae11f359</x:v>
      </x:c>
      <x:c r="B6" t="str">
        <x:v>SY INC.</x:v>
      </x:c>
      <x:c r="C6" t="str">
        <x:v>김이지</x:v>
      </x:c>
      <x:c r="D6" t="str">
        <x:v>monthly</x:v>
      </x:c>
      <x:c r="E6" t="str">
        <x:v>2024-10</x:v>
      </x:c>
      <x:c r="F6" s="56" t="n">
        <x:v>1</x:v>
      </x:c>
      <x:c r="G6" s="57" t="n">
        <x:v>2024</x:v>
      </x:c>
      <x:c r="H6" s="47" t="n">
        <x:v>46202</x:v>
      </x:c>
      <x:c r="I6" t="str">
        <x:v>3개 월차 만근 소급</x:v>
      </x:c>
      <x:c r="J6" s="58" t="n">
        <x:v>46202</x:v>
      </x:c>
    </x:row>
    <x:row r="7">
      <x:c r="A7" t="str">
        <x:v>76ddb717-6f2f-46ee-aa76-1db2ae11f359</x:v>
      </x:c>
      <x:c r="B7" t="str">
        <x:v>SY INC.</x:v>
      </x:c>
      <x:c r="C7" t="str">
        <x:v>김이지</x:v>
      </x:c>
      <x:c r="D7" t="str">
        <x:v>monthly</x:v>
      </x:c>
      <x:c r="E7" t="str">
        <x:v>2024-11</x:v>
      </x:c>
      <x:c r="F7" s="56" t="n">
        <x:v>1</x:v>
      </x:c>
      <x:c r="G7" s="57" t="n">
        <x:v>2024</x:v>
      </x:c>
      <x:c r="H7" s="47" t="n">
        <x:v>46202</x:v>
      </x:c>
      <x:c r="I7" t="str">
        <x:v>4개 월차 만근 소급</x:v>
      </x:c>
      <x:c r="J7" s="58" t="n">
        <x:v>46202</x:v>
      </x:c>
    </x:row>
    <x:row r="8">
      <x:c r="A8" t="str">
        <x:v>76ddb717-6f2f-46ee-aa76-1db2ae11f359</x:v>
      </x:c>
      <x:c r="B8" t="str">
        <x:v>SY INC.</x:v>
      </x:c>
      <x:c r="C8" t="str">
        <x:v>김이지</x:v>
      </x:c>
      <x:c r="D8" t="str">
        <x:v>monthly</x:v>
      </x:c>
      <x:c r="E8" t="str">
        <x:v>2024-12</x:v>
      </x:c>
      <x:c r="F8" s="56" t="n">
        <x:v>1</x:v>
      </x:c>
      <x:c r="G8" s="57" t="n">
        <x:v>2024</x:v>
      </x:c>
      <x:c r="H8" s="47" t="n">
        <x:v>46202</x:v>
      </x:c>
      <x:c r="I8" t="str">
        <x:v>5개 월차 만근 소급</x:v>
      </x:c>
      <x:c r="J8" s="58" t="n">
        <x:v>46202</x:v>
      </x:c>
    </x:row>
    <x:row r="9">
      <x:c r="A9" t="str">
        <x:v>76ddb717-6f2f-46ee-aa76-1db2ae11f359</x:v>
      </x:c>
      <x:c r="B9" t="str">
        <x:v>SY INC.</x:v>
      </x:c>
      <x:c r="C9" t="str">
        <x:v>김이지</x:v>
      </x:c>
      <x:c r="D9" t="str">
        <x:v>monthly</x:v>
      </x:c>
      <x:c r="E9" t="str">
        <x:v>2025-01</x:v>
      </x:c>
      <x:c r="F9" s="56" t="n">
        <x:v>1</x:v>
      </x:c>
      <x:c r="G9" s="57" t="n">
        <x:v>2025</x:v>
      </x:c>
      <x:c r="H9" s="47" t="n">
        <x:v>46202</x:v>
      </x:c>
      <x:c r="I9" t="str">
        <x:v>6개 월차 만근 소급</x:v>
      </x:c>
      <x:c r="J9" s="58" t="n">
        <x:v>46202</x:v>
      </x:c>
    </x:row>
    <x:row r="10">
      <x:c r="A10" t="str">
        <x:v>76ddb717-6f2f-46ee-aa76-1db2ae11f359</x:v>
      </x:c>
      <x:c r="B10" t="str">
        <x:v>SY INC.</x:v>
      </x:c>
      <x:c r="C10" t="str">
        <x:v>김이지</x:v>
      </x:c>
      <x:c r="D10" t="str">
        <x:v>monthly</x:v>
      </x:c>
      <x:c r="E10" t="str">
        <x:v>2025-02</x:v>
      </x:c>
      <x:c r="F10" s="56" t="n">
        <x:v>1</x:v>
      </x:c>
      <x:c r="G10" s="57" t="n">
        <x:v>2025</x:v>
      </x:c>
      <x:c r="H10" s="47" t="n">
        <x:v>46202</x:v>
      </x:c>
      <x:c r="I10" t="str">
        <x:v>7개 월차 만근 소급</x:v>
      </x:c>
      <x:c r="J10" s="58" t="n">
        <x:v>46202</x:v>
      </x:c>
    </x:row>
    <x:row r="11">
      <x:c r="A11" t="str">
        <x:v>76ddb717-6f2f-46ee-aa76-1db2ae11f359</x:v>
      </x:c>
      <x:c r="B11" t="str">
        <x:v>SY INC.</x:v>
      </x:c>
      <x:c r="C11" t="str">
        <x:v>김이지</x:v>
      </x:c>
      <x:c r="D11" t="str">
        <x:v>monthly</x:v>
      </x:c>
      <x:c r="E11" t="str">
        <x:v>2025-03</x:v>
      </x:c>
      <x:c r="F11" s="56" t="n">
        <x:v>1</x:v>
      </x:c>
      <x:c r="G11" s="57" t="n">
        <x:v>2025</x:v>
      </x:c>
      <x:c r="H11" s="47" t="n">
        <x:v>46202</x:v>
      </x:c>
      <x:c r="I11" t="str">
        <x:v>8개 월차 만근 소급</x:v>
      </x:c>
      <x:c r="J11" s="58" t="n">
        <x:v>46202</x:v>
      </x:c>
    </x:row>
    <x:row r="12">
      <x:c r="A12" t="str">
        <x:v>76ddb717-6f2f-46ee-aa76-1db2ae11f359</x:v>
      </x:c>
      <x:c r="B12" t="str">
        <x:v>SY INC.</x:v>
      </x:c>
      <x:c r="C12" t="str">
        <x:v>김이지</x:v>
      </x:c>
      <x:c r="D12" t="str">
        <x:v>monthly</x:v>
      </x:c>
      <x:c r="E12" t="str">
        <x:v>2025-04</x:v>
      </x:c>
      <x:c r="F12" s="56" t="n">
        <x:v>1</x:v>
      </x:c>
      <x:c r="G12" s="57" t="n">
        <x:v>2025</x:v>
      </x:c>
      <x:c r="H12" s="47" t="n">
        <x:v>46202</x:v>
      </x:c>
      <x:c r="I12" t="str">
        <x:v>9개 월차 만근 소급</x:v>
      </x:c>
      <x:c r="J12" s="58" t="n">
        <x:v>46202</x:v>
      </x:c>
    </x:row>
    <x:row r="13">
      <x:c r="A13" t="str">
        <x:v>76ddb717-6f2f-46ee-aa76-1db2ae11f359</x:v>
      </x:c>
      <x:c r="B13" t="str">
        <x:v>SY INC.</x:v>
      </x:c>
      <x:c r="C13" t="str">
        <x:v>김이지</x:v>
      </x:c>
      <x:c r="D13" t="str">
        <x:v>monthly</x:v>
      </x:c>
      <x:c r="E13" t="str">
        <x:v>2025-05</x:v>
      </x:c>
      <x:c r="F13" s="56" t="n">
        <x:v>1</x:v>
      </x:c>
      <x:c r="G13" s="57" t="n">
        <x:v>2025</x:v>
      </x:c>
      <x:c r="H13" s="47" t="n">
        <x:v>46202</x:v>
      </x:c>
      <x:c r="I13" t="str">
        <x:v>10개 월차 만근 소급</x:v>
      </x:c>
      <x:c r="J13" s="58" t="n">
        <x:v>46202</x:v>
      </x:c>
    </x:row>
    <x:row r="14">
      <x:c r="A14" t="str">
        <x:v>76ddb717-6f2f-46ee-aa76-1db2ae11f359</x:v>
      </x:c>
      <x:c r="B14" t="str">
        <x:v>SY INC.</x:v>
      </x:c>
      <x:c r="C14" t="str">
        <x:v>김이지</x:v>
      </x:c>
      <x:c r="D14" t="str">
        <x:v>monthly</x:v>
      </x:c>
      <x:c r="E14" t="str">
        <x:v>2025-06</x:v>
      </x:c>
      <x:c r="F14" s="56" t="n">
        <x:v>1</x:v>
      </x:c>
      <x:c r="G14" s="57" t="n">
        <x:v>2025</x:v>
      </x:c>
      <x:c r="H14" s="47" t="n">
        <x:v>46202</x:v>
      </x:c>
      <x:c r="I14" t="str">
        <x:v>11개 월차 만근 소급</x:v>
      </x:c>
      <x:c r="J14" s="58" t="n">
        <x:v>46202</x:v>
      </x:c>
    </x:row>
    <x:row r="15">
      <x:c r="A15" t="str">
        <x:v>76ddb717-6f2f-46ee-aa76-1db2ae11f359</x:v>
      </x:c>
      <x:c r="B15" t="str">
        <x:v>SY INC.</x:v>
      </x:c>
      <x:c r="C15" t="str">
        <x:v>김이지</x:v>
      </x:c>
      <x:c r="D15" t="str">
        <x:v>annual</x:v>
      </x:c>
      <x:c r="E15" t="str">
        <x:v>annual:1</x:v>
      </x:c>
      <x:c r="F15" s="56" t="n">
        <x:v>15</x:v>
      </x:c>
      <x:c r="G15" s="57" t="n">
        <x:v>2026</x:v>
      </x:c>
      <x:c r="H15" s="47" t="n">
        <x:v>45890</x:v>
      </x:c>
      <x:c r="I15" t="str">
        <x:v>만 1년차 연차 15일 자동부여</x:v>
      </x:c>
      <x:c r="J15" s="58" t="n">
        <x:v>45890</x:v>
      </x:c>
    </x:row>
    <x:row r="16">
      <x:c r="A16" t="str">
        <x:v>f9155e80-7804-48b6-8f0c-636156bf0918</x:v>
      </x:c>
      <x:c r="B16" t="str">
        <x:v>SY INC.</x:v>
      </x:c>
      <x:c r="C16" t="str">
        <x:v>박은빈</x:v>
      </x:c>
      <x:c r="D16" t="str">
        <x:v>monthly</x:v>
      </x:c>
      <x:c r="E16" t="str">
        <x:v>2026-05</x:v>
      </x:c>
      <x:c r="F16" s="56" t="n">
        <x:v>1</x:v>
      </x:c>
      <x:c r="G16" s="57" t="n">
        <x:v>2026</x:v>
      </x:c>
      <x:c r="H16" s="47" t="n">
        <x:v>46186</x:v>
      </x:c>
      <x:c r="I16" t="str">
        <x:v>1개월차 만근 +1일</x:v>
      </x:c>
      <x:c r="J16" s="58" t="n">
        <x:v>46186</x:v>
      </x:c>
    </x:row>
    <x:row r="17">
      <x:c r="A17" t="str">
        <x:v>f9155e80-7804-48b6-8f0c-636156bf0918</x:v>
      </x:c>
      <x:c r="B17" t="str">
        <x:v>SY INC.</x:v>
      </x:c>
      <x:c r="C17" t="str">
        <x:v>박은빈</x:v>
      </x:c>
      <x:c r="D17" t="str">
        <x:v>monthly</x:v>
      </x:c>
      <x:c r="E17" t="str">
        <x:v>2026-06</x:v>
      </x:c>
      <x:c r="F17" s="56" t="n">
        <x:v>1</x:v>
      </x:c>
      <x:c r="G17" s="57" t="n">
        <x:v>2026</x:v>
      </x:c>
      <x:c r="H17" s="47" t="n">
        <x:v>46218</x:v>
      </x:c>
      <x:c r="I17" t="str">
        <x:v>2개월차 만근 +1일(백필)</x:v>
      </x:c>
      <x:c r="J17" s="58" t="n">
        <x:v>46218</x:v>
      </x:c>
    </x:row>
    <x:row r="18">
      <x:c r="A18" t="str">
        <x:v>0cda84a2-4b9e-4ef9-a886-973a48c4d97b</x:v>
      </x:c>
      <x:c r="B18" t="str">
        <x:v>SY INC.</x:v>
      </x:c>
      <x:c r="C18" t="str">
        <x:v>백민</x:v>
      </x:c>
      <x:c r="D18" t="str">
        <x:v>monthly</x:v>
      </x:c>
      <x:c r="E18" t="str">
        <x:v>2026-01</x:v>
      </x:c>
      <x:c r="F18" s="56" t="n">
        <x:v>1</x:v>
      </x:c>
      <x:c r="G18" s="57" t="n">
        <x:v>2026</x:v>
      </x:c>
      <x:c r="H18" s="47" t="n">
        <x:v>46081</x:v>
      </x:c>
      <x:c r="I18" t="str">
        <x:v>1개월차 만근 +1일</x:v>
      </x:c>
      <x:c r="J18" s="58" t="n">
        <x:v>46081</x:v>
      </x:c>
    </x:row>
    <x:row r="19">
      <x:c r="A19" t="str">
        <x:v>0cda84a2-4b9e-4ef9-a886-973a48c4d97b</x:v>
      </x:c>
      <x:c r="B19" t="str">
        <x:v>SY INC.</x:v>
      </x:c>
      <x:c r="C19" t="str">
        <x:v>백민</x:v>
      </x:c>
      <x:c r="D19" t="str">
        <x:v>monthly</x:v>
      </x:c>
      <x:c r="E19" t="str">
        <x:v>2026-02</x:v>
      </x:c>
      <x:c r="F19" s="56" t="n">
        <x:v>1</x:v>
      </x:c>
      <x:c r="G19" s="57" t="n">
        <x:v>2026</x:v>
      </x:c>
      <x:c r="H19" s="47" t="n">
        <x:v>46110</x:v>
      </x:c>
      <x:c r="I19" t="str">
        <x:v>2개월차 만근 +1일</x:v>
      </x:c>
      <x:c r="J19" s="58" t="n">
        <x:v>46110</x:v>
      </x:c>
    </x:row>
    <x:row r="20">
      <x:c r="A20" t="str">
        <x:v>0cda84a2-4b9e-4ef9-a886-973a48c4d97b</x:v>
      </x:c>
      <x:c r="B20" t="str">
        <x:v>SY INC.</x:v>
      </x:c>
      <x:c r="C20" t="str">
        <x:v>백민</x:v>
      </x:c>
      <x:c r="D20" t="str">
        <x:v>monthly</x:v>
      </x:c>
      <x:c r="E20" t="str">
        <x:v>2026-03</x:v>
      </x:c>
      <x:c r="F20" s="56" t="n">
        <x:v>1</x:v>
      </x:c>
      <x:c r="G20" s="57" t="n">
        <x:v>2026</x:v>
      </x:c>
      <x:c r="H20" s="47" t="n">
        <x:v>46141</x:v>
      </x:c>
      <x:c r="I20" t="str">
        <x:v>3개월차 만근 +1일</x:v>
      </x:c>
      <x:c r="J20" s="58" t="n">
        <x:v>46141</x:v>
      </x:c>
    </x:row>
    <x:row r="21">
      <x:c r="A21" t="str">
        <x:v>0cda84a2-4b9e-4ef9-a886-973a48c4d97b</x:v>
      </x:c>
      <x:c r="B21" t="str">
        <x:v>SY INC.</x:v>
      </x:c>
      <x:c r="C21" t="str">
        <x:v>백민</x:v>
      </x:c>
      <x:c r="D21" t="str">
        <x:v>monthly</x:v>
      </x:c>
      <x:c r="E21" t="str">
        <x:v>2026-04</x:v>
      </x:c>
      <x:c r="F21" s="56" t="n">
        <x:v>1</x:v>
      </x:c>
      <x:c r="G21" s="57" t="n">
        <x:v>2026</x:v>
      </x:c>
      <x:c r="H21" s="47" t="n">
        <x:v>46171</x:v>
      </x:c>
      <x:c r="I21" t="str">
        <x:v>4개월차 만근 +1일</x:v>
      </x:c>
      <x:c r="J21" s="58" t="n">
        <x:v>46171</x:v>
      </x:c>
    </x:row>
    <x:row r="22">
      <x:c r="A22" t="str">
        <x:v>0cda84a2-4b9e-4ef9-a886-973a48c4d97b</x:v>
      </x:c>
      <x:c r="B22" t="str">
        <x:v>SY INC.</x:v>
      </x:c>
      <x:c r="C22" t="str">
        <x:v>백민</x:v>
      </x:c>
      <x:c r="D22" t="str">
        <x:v>monthly</x:v>
      </x:c>
      <x:c r="E22" t="str">
        <x:v>2026-05</x:v>
      </x:c>
      <x:c r="F22" s="56" t="n">
        <x:v>1</x:v>
      </x:c>
      <x:c r="G22" s="57" t="n">
        <x:v>2026</x:v>
      </x:c>
      <x:c r="H22" s="47" t="n">
        <x:v>46218</x:v>
      </x:c>
      <x:c r="I22" t="str">
        <x:v>5개월차 만근 +1일(백필)</x:v>
      </x:c>
      <x:c r="J22" s="58" t="n">
        <x:v>46218</x:v>
      </x:c>
    </x:row>
    <x:row r="23">
      <x:c r="A23" t="str">
        <x:v>38bd18fa-36ce-46d5-bb51-b9c55ac166e7</x:v>
      </x:c>
      <x:c r="B23" t="str">
        <x:v>SY INC.</x:v>
      </x:c>
      <x:c r="C23" t="str">
        <x:v>백정민</x:v>
      </x:c>
      <x:c r="D23" t="str">
        <x:v>monthly</x:v>
      </x:c>
      <x:c r="E23" t="str">
        <x:v>2023-11</x:v>
      </x:c>
      <x:c r="F23" s="56" t="n">
        <x:v>1</x:v>
      </x:c>
      <x:c r="G23" s="57" t="n">
        <x:v>2023</x:v>
      </x:c>
      <x:c r="H23" s="47" t="n">
        <x:v>46202</x:v>
      </x:c>
      <x:c r="I23" t="str">
        <x:v>1개 월차 만근 소급</x:v>
      </x:c>
      <x:c r="J23" s="58" t="n">
        <x:v>46202</x:v>
      </x:c>
    </x:row>
    <x:row r="24">
      <x:c r="A24" t="str">
        <x:v>38bd18fa-36ce-46d5-bb51-b9c55ac166e7</x:v>
      </x:c>
      <x:c r="B24" t="str">
        <x:v>SY INC.</x:v>
      </x:c>
      <x:c r="C24" t="str">
        <x:v>백정민</x:v>
      </x:c>
      <x:c r="D24" t="str">
        <x:v>monthly</x:v>
      </x:c>
      <x:c r="E24" t="str">
        <x:v>2023-12</x:v>
      </x:c>
      <x:c r="F24" s="56" t="n">
        <x:v>1</x:v>
      </x:c>
      <x:c r="G24" s="57" t="n">
        <x:v>2023</x:v>
      </x:c>
      <x:c r="H24" s="47" t="n">
        <x:v>46202</x:v>
      </x:c>
      <x:c r="I24" t="str">
        <x:v>2개 월차 만근 소급</x:v>
      </x:c>
      <x:c r="J24" s="58" t="n">
        <x:v>46202</x:v>
      </x:c>
    </x:row>
    <x:row r="25">
      <x:c r="A25" t="str">
        <x:v>38bd18fa-36ce-46d5-bb51-b9c55ac166e7</x:v>
      </x:c>
      <x:c r="B25" t="str">
        <x:v>SY INC.</x:v>
      </x:c>
      <x:c r="C25" t="str">
        <x:v>백정민</x:v>
      </x:c>
      <x:c r="D25" t="str">
        <x:v>monthly</x:v>
      </x:c>
      <x:c r="E25" t="str">
        <x:v>2024-01</x:v>
      </x:c>
      <x:c r="F25" s="56" t="n">
        <x:v>1</x:v>
      </x:c>
      <x:c r="G25" s="57" t="n">
        <x:v>2024</x:v>
      </x:c>
      <x:c r="H25" s="47" t="n">
        <x:v>46202</x:v>
      </x:c>
      <x:c r="I25" t="str">
        <x:v>3개 월차 만근 소급</x:v>
      </x:c>
      <x:c r="J25" s="58" t="n">
        <x:v>46202</x:v>
      </x:c>
    </x:row>
    <x:row r="26">
      <x:c r="A26" t="str">
        <x:v>38bd18fa-36ce-46d5-bb51-b9c55ac166e7</x:v>
      </x:c>
      <x:c r="B26" t="str">
        <x:v>SY INC.</x:v>
      </x:c>
      <x:c r="C26" t="str">
        <x:v>백정민</x:v>
      </x:c>
      <x:c r="D26" t="str">
        <x:v>monthly</x:v>
      </x:c>
      <x:c r="E26" t="str">
        <x:v>2024-02</x:v>
      </x:c>
      <x:c r="F26" s="56" t="n">
        <x:v>1</x:v>
      </x:c>
      <x:c r="G26" s="57" t="n">
        <x:v>2024</x:v>
      </x:c>
      <x:c r="H26" s="47" t="n">
        <x:v>46202</x:v>
      </x:c>
      <x:c r="I26" t="str">
        <x:v>4개 월차 만근 소급</x:v>
      </x:c>
      <x:c r="J26" s="58" t="n">
        <x:v>46202</x:v>
      </x:c>
    </x:row>
    <x:row r="27">
      <x:c r="A27" t="str">
        <x:v>38bd18fa-36ce-46d5-bb51-b9c55ac166e7</x:v>
      </x:c>
      <x:c r="B27" t="str">
        <x:v>SY INC.</x:v>
      </x:c>
      <x:c r="C27" t="str">
        <x:v>백정민</x:v>
      </x:c>
      <x:c r="D27" t="str">
        <x:v>monthly</x:v>
      </x:c>
      <x:c r="E27" t="str">
        <x:v>2024-03</x:v>
      </x:c>
      <x:c r="F27" s="56" t="n">
        <x:v>1</x:v>
      </x:c>
      <x:c r="G27" s="57" t="n">
        <x:v>2024</x:v>
      </x:c>
      <x:c r="H27" s="47" t="n">
        <x:v>46202</x:v>
      </x:c>
      <x:c r="I27" t="str">
        <x:v>5개 월차 만근 소급</x:v>
      </x:c>
      <x:c r="J27" s="58" t="n">
        <x:v>46202</x:v>
      </x:c>
    </x:row>
    <x:row r="28">
      <x:c r="A28" t="str">
        <x:v>38bd18fa-36ce-46d5-bb51-b9c55ac166e7</x:v>
      </x:c>
      <x:c r="B28" t="str">
        <x:v>SY INC.</x:v>
      </x:c>
      <x:c r="C28" t="str">
        <x:v>백정민</x:v>
      </x:c>
      <x:c r="D28" t="str">
        <x:v>monthly</x:v>
      </x:c>
      <x:c r="E28" t="str">
        <x:v>2024-04</x:v>
      </x:c>
      <x:c r="F28" s="56" t="n">
        <x:v>1</x:v>
      </x:c>
      <x:c r="G28" s="57" t="n">
        <x:v>2024</x:v>
      </x:c>
      <x:c r="H28" s="47" t="n">
        <x:v>46202</x:v>
      </x:c>
      <x:c r="I28" t="str">
        <x:v>6개 월차 만근 소급</x:v>
      </x:c>
      <x:c r="J28" s="58" t="n">
        <x:v>46202</x:v>
      </x:c>
    </x:row>
    <x:row r="29">
      <x:c r="A29" t="str">
        <x:v>38bd18fa-36ce-46d5-bb51-b9c55ac166e7</x:v>
      </x:c>
      <x:c r="B29" t="str">
        <x:v>SY INC.</x:v>
      </x:c>
      <x:c r="C29" t="str">
        <x:v>백정민</x:v>
      </x:c>
      <x:c r="D29" t="str">
        <x:v>monthly</x:v>
      </x:c>
      <x:c r="E29" t="str">
        <x:v>2024-05</x:v>
      </x:c>
      <x:c r="F29" s="56" t="n">
        <x:v>1</x:v>
      </x:c>
      <x:c r="G29" s="57" t="n">
        <x:v>2024</x:v>
      </x:c>
      <x:c r="H29" s="47" t="n">
        <x:v>46202</x:v>
      </x:c>
      <x:c r="I29" t="str">
        <x:v>7개 월차 만근 소급</x:v>
      </x:c>
      <x:c r="J29" s="58" t="n">
        <x:v>46202</x:v>
      </x:c>
    </x:row>
    <x:row r="30">
      <x:c r="A30" t="str">
        <x:v>38bd18fa-36ce-46d5-bb51-b9c55ac166e7</x:v>
      </x:c>
      <x:c r="B30" t="str">
        <x:v>SY INC.</x:v>
      </x:c>
      <x:c r="C30" t="str">
        <x:v>백정민</x:v>
      </x:c>
      <x:c r="D30" t="str">
        <x:v>monthly</x:v>
      </x:c>
      <x:c r="E30" t="str">
        <x:v>2024-06</x:v>
      </x:c>
      <x:c r="F30" s="56" t="n">
        <x:v>1</x:v>
      </x:c>
      <x:c r="G30" s="57" t="n">
        <x:v>2024</x:v>
      </x:c>
      <x:c r="H30" s="47" t="n">
        <x:v>46202</x:v>
      </x:c>
      <x:c r="I30" t="str">
        <x:v>8개 월차 만근 소급</x:v>
      </x:c>
      <x:c r="J30" s="58" t="n">
        <x:v>46202</x:v>
      </x:c>
    </x:row>
    <x:row r="31">
      <x:c r="A31" t="str">
        <x:v>38bd18fa-36ce-46d5-bb51-b9c55ac166e7</x:v>
      </x:c>
      <x:c r="B31" t="str">
        <x:v>SY INC.</x:v>
      </x:c>
      <x:c r="C31" t="str">
        <x:v>백정민</x:v>
      </x:c>
      <x:c r="D31" t="str">
        <x:v>monthly</x:v>
      </x:c>
      <x:c r="E31" t="str">
        <x:v>2024-07</x:v>
      </x:c>
      <x:c r="F31" s="56" t="n">
        <x:v>1</x:v>
      </x:c>
      <x:c r="G31" s="57" t="n">
        <x:v>2024</x:v>
      </x:c>
      <x:c r="H31" s="47" t="n">
        <x:v>46202</x:v>
      </x:c>
      <x:c r="I31" t="str">
        <x:v>9개 월차 만근 소급</x:v>
      </x:c>
      <x:c r="J31" s="58" t="n">
        <x:v>46202</x:v>
      </x:c>
    </x:row>
    <x:row r="32">
      <x:c r="A32" t="str">
        <x:v>38bd18fa-36ce-46d5-bb51-b9c55ac166e7</x:v>
      </x:c>
      <x:c r="B32" t="str">
        <x:v>SY INC.</x:v>
      </x:c>
      <x:c r="C32" t="str">
        <x:v>백정민</x:v>
      </x:c>
      <x:c r="D32" t="str">
        <x:v>monthly</x:v>
      </x:c>
      <x:c r="E32" t="str">
        <x:v>2024-08</x:v>
      </x:c>
      <x:c r="F32" s="56" t="n">
        <x:v>1</x:v>
      </x:c>
      <x:c r="G32" s="57" t="n">
        <x:v>2024</x:v>
      </x:c>
      <x:c r="H32" s="47" t="n">
        <x:v>46202</x:v>
      </x:c>
      <x:c r="I32" t="str">
        <x:v>10개 월차 만근 소급</x:v>
      </x:c>
      <x:c r="J32" s="58" t="n">
        <x:v>46202</x:v>
      </x:c>
    </x:row>
    <x:row r="33">
      <x:c r="A33" t="str">
        <x:v>38bd18fa-36ce-46d5-bb51-b9c55ac166e7</x:v>
      </x:c>
      <x:c r="B33" t="str">
        <x:v>SY INC.</x:v>
      </x:c>
      <x:c r="C33" t="str">
        <x:v>백정민</x:v>
      </x:c>
      <x:c r="D33" t="str">
        <x:v>monthly</x:v>
      </x:c>
      <x:c r="E33" t="str">
        <x:v>2024-09</x:v>
      </x:c>
      <x:c r="F33" s="56" t="n">
        <x:v>1</x:v>
      </x:c>
      <x:c r="G33" s="57" t="n">
        <x:v>2024</x:v>
      </x:c>
      <x:c r="H33" s="47" t="n">
        <x:v>46202</x:v>
      </x:c>
      <x:c r="I33" t="str">
        <x:v>11개 월차 만근 소급</x:v>
      </x:c>
      <x:c r="J33" s="58" t="n">
        <x:v>46202</x:v>
      </x:c>
    </x:row>
    <x:row r="34">
      <x:c r="A34" t="str">
        <x:v>38bd18fa-36ce-46d5-bb51-b9c55ac166e7</x:v>
      </x:c>
      <x:c r="B34" t="str">
        <x:v>SY INC.</x:v>
      </x:c>
      <x:c r="C34" t="str">
        <x:v>백정민</x:v>
      </x:c>
      <x:c r="D34" t="str">
        <x:v>annual</x:v>
      </x:c>
      <x:c r="E34" t="str">
        <x:v>annual:1</x:v>
      </x:c>
      <x:c r="F34" s="56" t="n">
        <x:v>15</x:v>
      </x:c>
      <x:c r="G34" s="57" t="n">
        <x:v>2026</x:v>
      </x:c>
      <x:c r="H34" s="47" t="n">
        <x:v>45505</x:v>
      </x:c>
      <x:c r="I34" t="str">
        <x:v>만 1년차 연차 15일 자동부여</x:v>
      </x:c>
      <x:c r="J34" s="58" t="n">
        <x:v>45505</x:v>
      </x:c>
    </x:row>
    <x:row r="35">
      <x:c r="A35" t="str">
        <x:v>38bd18fa-36ce-46d5-bb51-b9c55ac166e7</x:v>
      </x:c>
      <x:c r="B35" t="str">
        <x:v>SY INC.</x:v>
      </x:c>
      <x:c r="C35" t="str">
        <x:v>백정민</x:v>
      </x:c>
      <x:c r="D35" t="str">
        <x:v>annual</x:v>
      </x:c>
      <x:c r="E35" t="str">
        <x:v>annual:2</x:v>
      </x:c>
      <x:c r="F35" s="56" t="n">
        <x:v>15</x:v>
      </x:c>
      <x:c r="G35" s="57" t="n">
        <x:v>2026</x:v>
      </x:c>
      <x:c r="H35" s="47" t="n">
        <x:v>45870</x:v>
      </x:c>
      <x:c r="I35" t="str">
        <x:v>만 2년차 연차 15일 자동부여</x:v>
      </x:c>
      <x:c r="J35" s="58" t="n">
        <x:v>45870</x:v>
      </x:c>
    </x:row>
    <x:row r="36">
      <x:c r="A36" t="str">
        <x:v>4796a0b0-f593-47a5-82e0-8db8f036d546</x:v>
      </x:c>
      <x:c r="B36" t="str">
        <x:v>SY INC.</x:v>
      </x:c>
      <x:c r="C36" t="str">
        <x:v>이나림</x:v>
      </x:c>
      <x:c r="D36" t="str">
        <x:v>monthly</x:v>
      </x:c>
      <x:c r="E36" t="str">
        <x:v>2025-11</x:v>
      </x:c>
      <x:c r="F36" s="56" t="n">
        <x:v>1</x:v>
      </x:c>
      <x:c r="G36" s="57" t="n">
        <x:v>2026</x:v>
      </x:c>
      <x:c r="H36" s="47" t="n">
        <x:v>46003</x:v>
      </x:c>
      <x:c r="I36" t="str">
        <x:v>1개월차 만근 +1일</x:v>
      </x:c>
      <x:c r="J36" s="58" t="n">
        <x:v>46003</x:v>
      </x:c>
    </x:row>
    <x:row r="37">
      <x:c r="A37" t="str">
        <x:v>4796a0b0-f593-47a5-82e0-8db8f036d546</x:v>
      </x:c>
      <x:c r="B37" t="str">
        <x:v>SY INC.</x:v>
      </x:c>
      <x:c r="C37" t="str">
        <x:v>이나림</x:v>
      </x:c>
      <x:c r="D37" t="str">
        <x:v>monthly</x:v>
      </x:c>
      <x:c r="E37" t="str">
        <x:v>2025-12</x:v>
      </x:c>
      <x:c r="F37" s="56" t="n">
        <x:v>1</x:v>
      </x:c>
      <x:c r="G37" s="57" t="n">
        <x:v>2026</x:v>
      </x:c>
      <x:c r="H37" s="47" t="n">
        <x:v>46034</x:v>
      </x:c>
      <x:c r="I37" t="str">
        <x:v>2개월차 만근 +1일</x:v>
      </x:c>
      <x:c r="J37" s="58" t="n">
        <x:v>46034</x:v>
      </x:c>
    </x:row>
    <x:row r="38">
      <x:c r="A38" t="str">
        <x:v>4796a0b0-f593-47a5-82e0-8db8f036d546</x:v>
      </x:c>
      <x:c r="B38" t="str">
        <x:v>SY INC.</x:v>
      </x:c>
      <x:c r="C38" t="str">
        <x:v>이나림</x:v>
      </x:c>
      <x:c r="D38" t="str">
        <x:v>monthly</x:v>
      </x:c>
      <x:c r="E38" t="str">
        <x:v>2026-01</x:v>
      </x:c>
      <x:c r="F38" s="56" t="n">
        <x:v>1</x:v>
      </x:c>
      <x:c r="G38" s="57" t="n">
        <x:v>2026</x:v>
      </x:c>
      <x:c r="H38" s="47" t="n">
        <x:v>46065</x:v>
      </x:c>
      <x:c r="I38" t="str">
        <x:v>3개월차 만근 +1일</x:v>
      </x:c>
      <x:c r="J38" s="58" t="n">
        <x:v>46065</x:v>
      </x:c>
    </x:row>
    <x:row r="39">
      <x:c r="A39" t="str">
        <x:v>4796a0b0-f593-47a5-82e0-8db8f036d546</x:v>
      </x:c>
      <x:c r="B39" t="str">
        <x:v>SY INC.</x:v>
      </x:c>
      <x:c r="C39" t="str">
        <x:v>이나림</x:v>
      </x:c>
      <x:c r="D39" t="str">
        <x:v>monthly</x:v>
      </x:c>
      <x:c r="E39" t="str">
        <x:v>2026-02</x:v>
      </x:c>
      <x:c r="F39" s="56" t="n">
        <x:v>1</x:v>
      </x:c>
      <x:c r="G39" s="57" t="n">
        <x:v>2026</x:v>
      </x:c>
      <x:c r="H39" s="47" t="n">
        <x:v>46093</x:v>
      </x:c>
      <x:c r="I39" t="str">
        <x:v>4개월차 만근 +1일</x:v>
      </x:c>
      <x:c r="J39" s="58" t="n">
        <x:v>46093</x:v>
      </x:c>
    </x:row>
    <x:row r="40">
      <x:c r="A40" t="str">
        <x:v>4796a0b0-f593-47a5-82e0-8db8f036d546</x:v>
      </x:c>
      <x:c r="B40" t="str">
        <x:v>SY INC.</x:v>
      </x:c>
      <x:c r="C40" t="str">
        <x:v>이나림</x:v>
      </x:c>
      <x:c r="D40" t="str">
        <x:v>monthly</x:v>
      </x:c>
      <x:c r="E40" t="str">
        <x:v>2026-03</x:v>
      </x:c>
      <x:c r="F40" s="56" t="n">
        <x:v>1</x:v>
      </x:c>
      <x:c r="G40" s="57" t="n">
        <x:v>2026</x:v>
      </x:c>
      <x:c r="H40" s="47" t="n">
        <x:v>46124</x:v>
      </x:c>
      <x:c r="I40" t="str">
        <x:v>5개월차 만근 +1일</x:v>
      </x:c>
      <x:c r="J40" s="58" t="n">
        <x:v>46124</x:v>
      </x:c>
    </x:row>
    <x:row r="41">
      <x:c r="A41" t="str">
        <x:v>4796a0b0-f593-47a5-82e0-8db8f036d546</x:v>
      </x:c>
      <x:c r="B41" t="str">
        <x:v>SY INC.</x:v>
      </x:c>
      <x:c r="C41" t="str">
        <x:v>이나림</x:v>
      </x:c>
      <x:c r="D41" t="str">
        <x:v>monthly</x:v>
      </x:c>
      <x:c r="E41" t="str">
        <x:v>2026-04</x:v>
      </x:c>
      <x:c r="F41" s="56" t="n">
        <x:v>1</x:v>
      </x:c>
      <x:c r="G41" s="57" t="n">
        <x:v>2026</x:v>
      </x:c>
      <x:c r="H41" s="47" t="n">
        <x:v>46154</x:v>
      </x:c>
      <x:c r="I41" t="str">
        <x:v>6개월차 만근 +1일</x:v>
      </x:c>
      <x:c r="J41" s="58" t="n">
        <x:v>46154</x:v>
      </x:c>
    </x:row>
    <x:row r="42">
      <x:c r="A42" t="str">
        <x:v>4796a0b0-f593-47a5-82e0-8db8f036d546</x:v>
      </x:c>
      <x:c r="B42" t="str">
        <x:v>SY INC.</x:v>
      </x:c>
      <x:c r="C42" t="str">
        <x:v>이나림</x:v>
      </x:c>
      <x:c r="D42" t="str">
        <x:v>monthly</x:v>
      </x:c>
      <x:c r="E42" t="str">
        <x:v>2026-05</x:v>
      </x:c>
      <x:c r="F42" s="56" t="n">
        <x:v>1</x:v>
      </x:c>
      <x:c r="G42" s="57" t="n">
        <x:v>2026</x:v>
      </x:c>
      <x:c r="H42" s="47" t="n">
        <x:v>46185</x:v>
      </x:c>
      <x:c r="I42" t="str">
        <x:v>7개월차 만근 +1일</x:v>
      </x:c>
      <x:c r="J42" s="58" t="n">
        <x:v>46185</x:v>
      </x:c>
    </x:row>
    <x:row r="43">
      <x:c r="A43" t="str">
        <x:v>4796a0b0-f593-47a5-82e0-8db8f036d546</x:v>
      </x:c>
      <x:c r="B43" t="str">
        <x:v>SY INC.</x:v>
      </x:c>
      <x:c r="C43" t="str">
        <x:v>이나림</x:v>
      </x:c>
      <x:c r="D43" t="str">
        <x:v>monthly</x:v>
      </x:c>
      <x:c r="E43" t="str">
        <x:v>2026-06</x:v>
      </x:c>
      <x:c r="F43" s="56" t="n">
        <x:v>1</x:v>
      </x:c>
      <x:c r="G43" s="57" t="n">
        <x:v>2026</x:v>
      </x:c>
      <x:c r="H43" s="47" t="n">
        <x:v>46218</x:v>
      </x:c>
      <x:c r="I43" t="str">
        <x:v>8개월차 만근 +1일(백필)</x:v>
      </x:c>
      <x:c r="J43" s="58" t="n">
        <x:v>46218</x:v>
      </x:c>
    </x:row>
    <x:row r="44">
      <x:c r="A44" t="str">
        <x:v>6dfea878-90a4-4a9e-9821-e08ba71dcaef</x:v>
      </x:c>
      <x:c r="B44" t="str">
        <x:v>SY INC.</x:v>
      </x:c>
      <x:c r="C44" t="str">
        <x:v>이미영</x:v>
      </x:c>
      <x:c r="D44" t="str">
        <x:v>monthly</x:v>
      </x:c>
      <x:c r="E44" t="str">
        <x:v>2026-06</x:v>
      </x:c>
      <x:c r="F44" s="56" t="n">
        <x:v>1</x:v>
      </x:c>
      <x:c r="G44" s="57" t="n">
        <x:v>2026</x:v>
      </x:c>
      <x:c r="H44" s="47" t="n">
        <x:v>46218</x:v>
      </x:c>
      <x:c r="I44" t="str">
        <x:v>1개월차 만근 +1일(백필)</x:v>
      </x:c>
      <x:c r="J44" s="58" t="n">
        <x:v>46218</x:v>
      </x:c>
    </x:row>
    <x:row r="45">
      <x:c r="A45" t="str">
        <x:v>5fcfae0e-9972-46d6-b173-523710e6a757</x:v>
      </x:c>
      <x:c r="B45" t="str">
        <x:v>SY INC.</x:v>
      </x:c>
      <x:c r="C45" t="str">
        <x:v>임귀섭</x:v>
      </x:c>
      <x:c r="D45" t="str">
        <x:v>monthly</x:v>
      </x:c>
      <x:c r="E45" t="str">
        <x:v>2025-02</x:v>
      </x:c>
      <x:c r="F45" s="56" t="n">
        <x:v>1</x:v>
      </x:c>
      <x:c r="G45" s="57" t="n">
        <x:v>2025</x:v>
      </x:c>
      <x:c r="H45" s="47" t="n">
        <x:v>46202</x:v>
      </x:c>
      <x:c r="I45" t="str">
        <x:v>1개 월차 만근 소급</x:v>
      </x:c>
      <x:c r="J45" s="58" t="n">
        <x:v>46202</x:v>
      </x:c>
    </x:row>
    <x:row r="46">
      <x:c r="A46" t="str">
        <x:v>5fcfae0e-9972-46d6-b173-523710e6a757</x:v>
      </x:c>
      <x:c r="B46" t="str">
        <x:v>SY INC.</x:v>
      </x:c>
      <x:c r="C46" t="str">
        <x:v>임귀섭</x:v>
      </x:c>
      <x:c r="D46" t="str">
        <x:v>monthly</x:v>
      </x:c>
      <x:c r="E46" t="str">
        <x:v>2025-03</x:v>
      </x:c>
      <x:c r="F46" s="56" t="n">
        <x:v>1</x:v>
      </x:c>
      <x:c r="G46" s="57" t="n">
        <x:v>2025</x:v>
      </x:c>
      <x:c r="H46" s="47" t="n">
        <x:v>46202</x:v>
      </x:c>
      <x:c r="I46" t="str">
        <x:v>2개 월차 만근 소급</x:v>
      </x:c>
      <x:c r="J46" s="58" t="n">
        <x:v>46202</x:v>
      </x:c>
    </x:row>
    <x:row r="47">
      <x:c r="A47" t="str">
        <x:v>5fcfae0e-9972-46d6-b173-523710e6a757</x:v>
      </x:c>
      <x:c r="B47" t="str">
        <x:v>SY INC.</x:v>
      </x:c>
      <x:c r="C47" t="str">
        <x:v>임귀섭</x:v>
      </x:c>
      <x:c r="D47" t="str">
        <x:v>monthly</x:v>
      </x:c>
      <x:c r="E47" t="str">
        <x:v>2025-04</x:v>
      </x:c>
      <x:c r="F47" s="56" t="n">
        <x:v>1</x:v>
      </x:c>
      <x:c r="G47" s="57" t="n">
        <x:v>2025</x:v>
      </x:c>
      <x:c r="H47" s="47" t="n">
        <x:v>46202</x:v>
      </x:c>
      <x:c r="I47" t="str">
        <x:v>3개 월차 만근 소급</x:v>
      </x:c>
      <x:c r="J47" s="58" t="n">
        <x:v>46202</x:v>
      </x:c>
    </x:row>
    <x:row r="48">
      <x:c r="A48" t="str">
        <x:v>5fcfae0e-9972-46d6-b173-523710e6a757</x:v>
      </x:c>
      <x:c r="B48" t="str">
        <x:v>SY INC.</x:v>
      </x:c>
      <x:c r="C48" t="str">
        <x:v>임귀섭</x:v>
      </x:c>
      <x:c r="D48" t="str">
        <x:v>monthly</x:v>
      </x:c>
      <x:c r="E48" t="str">
        <x:v>2025-05</x:v>
      </x:c>
      <x:c r="F48" s="56" t="n">
        <x:v>1</x:v>
      </x:c>
      <x:c r="G48" s="57" t="n">
        <x:v>2025</x:v>
      </x:c>
      <x:c r="H48" s="47" t="n">
        <x:v>46202</x:v>
      </x:c>
      <x:c r="I48" t="str">
        <x:v>4개 월차 만근 소급</x:v>
      </x:c>
      <x:c r="J48" s="58" t="n">
        <x:v>46202</x:v>
      </x:c>
    </x:row>
    <x:row r="49">
      <x:c r="A49" t="str">
        <x:v>5fcfae0e-9972-46d6-b173-523710e6a757</x:v>
      </x:c>
      <x:c r="B49" t="str">
        <x:v>SY INC.</x:v>
      </x:c>
      <x:c r="C49" t="str">
        <x:v>임귀섭</x:v>
      </x:c>
      <x:c r="D49" t="str">
        <x:v>monthly</x:v>
      </x:c>
      <x:c r="E49" t="str">
        <x:v>2025-06</x:v>
      </x:c>
      <x:c r="F49" s="56" t="n">
        <x:v>1</x:v>
      </x:c>
      <x:c r="G49" s="57" t="n">
        <x:v>2025</x:v>
      </x:c>
      <x:c r="H49" s="47" t="n">
        <x:v>46202</x:v>
      </x:c>
      <x:c r="I49" t="str">
        <x:v>5개 월차 만근 소급</x:v>
      </x:c>
      <x:c r="J49" s="58" t="n">
        <x:v>46202</x:v>
      </x:c>
    </x:row>
    <x:row r="50">
      <x:c r="A50" t="str">
        <x:v>5fcfae0e-9972-46d6-b173-523710e6a757</x:v>
      </x:c>
      <x:c r="B50" t="str">
        <x:v>SY INC.</x:v>
      </x:c>
      <x:c r="C50" t="str">
        <x:v>임귀섭</x:v>
      </x:c>
      <x:c r="D50" t="str">
        <x:v>monthly</x:v>
      </x:c>
      <x:c r="E50" t="str">
        <x:v>2025-07</x:v>
      </x:c>
      <x:c r="F50" s="56" t="n">
        <x:v>1</x:v>
      </x:c>
      <x:c r="G50" s="57" t="n">
        <x:v>2025</x:v>
      </x:c>
      <x:c r="H50" s="47" t="n">
        <x:v>46202</x:v>
      </x:c>
      <x:c r="I50" t="str">
        <x:v>6개 월차 만근 소급</x:v>
      </x:c>
      <x:c r="J50" s="58" t="n">
        <x:v>46202</x:v>
      </x:c>
    </x:row>
    <x:row r="51">
      <x:c r="A51" t="str">
        <x:v>5fcfae0e-9972-46d6-b173-523710e6a757</x:v>
      </x:c>
      <x:c r="B51" t="str">
        <x:v>SY INC.</x:v>
      </x:c>
      <x:c r="C51" t="str">
        <x:v>임귀섭</x:v>
      </x:c>
      <x:c r="D51" t="str">
        <x:v>monthly</x:v>
      </x:c>
      <x:c r="E51" t="str">
        <x:v>2025-08</x:v>
      </x:c>
      <x:c r="F51" s="56" t="n">
        <x:v>1</x:v>
      </x:c>
      <x:c r="G51" s="57" t="n">
        <x:v>2025</x:v>
      </x:c>
      <x:c r="H51" s="47" t="n">
        <x:v>46202</x:v>
      </x:c>
      <x:c r="I51" t="str">
        <x:v>7개 월차 만근 소급</x:v>
      </x:c>
      <x:c r="J51" s="58" t="n">
        <x:v>46202</x:v>
      </x:c>
    </x:row>
    <x:row r="52">
      <x:c r="A52" t="str">
        <x:v>5fcfae0e-9972-46d6-b173-523710e6a757</x:v>
      </x:c>
      <x:c r="B52" t="str">
        <x:v>SY INC.</x:v>
      </x:c>
      <x:c r="C52" t="str">
        <x:v>임귀섭</x:v>
      </x:c>
      <x:c r="D52" t="str">
        <x:v>monthly</x:v>
      </x:c>
      <x:c r="E52" t="str">
        <x:v>2025-09</x:v>
      </x:c>
      <x:c r="F52" s="56" t="n">
        <x:v>1</x:v>
      </x:c>
      <x:c r="G52" s="57" t="n">
        <x:v>2025</x:v>
      </x:c>
      <x:c r="H52" s="47" t="n">
        <x:v>46202</x:v>
      </x:c>
      <x:c r="I52" t="str">
        <x:v>8개 월차 만근 소급</x:v>
      </x:c>
      <x:c r="J52" s="58" t="n">
        <x:v>46202</x:v>
      </x:c>
    </x:row>
    <x:row r="53">
      <x:c r="A53" t="str">
        <x:v>5fcfae0e-9972-46d6-b173-523710e6a757</x:v>
      </x:c>
      <x:c r="B53" t="str">
        <x:v>SY INC.</x:v>
      </x:c>
      <x:c r="C53" t="str">
        <x:v>임귀섭</x:v>
      </x:c>
      <x:c r="D53" t="str">
        <x:v>monthly</x:v>
      </x:c>
      <x:c r="E53" t="str">
        <x:v>2025-10</x:v>
      </x:c>
      <x:c r="F53" s="56" t="n">
        <x:v>1</x:v>
      </x:c>
      <x:c r="G53" s="57" t="n">
        <x:v>2025</x:v>
      </x:c>
      <x:c r="H53" s="47" t="n">
        <x:v>46202</x:v>
      </x:c>
      <x:c r="I53" t="str">
        <x:v>9개 월차 만근 소급</x:v>
      </x:c>
      <x:c r="J53" s="58" t="n">
        <x:v>46202</x:v>
      </x:c>
    </x:row>
    <x:row r="54">
      <x:c r="A54" t="str">
        <x:v>5fcfae0e-9972-46d6-b173-523710e6a757</x:v>
      </x:c>
      <x:c r="B54" t="str">
        <x:v>SY INC.</x:v>
      </x:c>
      <x:c r="C54" t="str">
        <x:v>임귀섭</x:v>
      </x:c>
      <x:c r="D54" t="str">
        <x:v>monthly</x:v>
      </x:c>
      <x:c r="E54" t="str">
        <x:v>2025-11</x:v>
      </x:c>
      <x:c r="F54" s="56" t="n">
        <x:v>1</x:v>
      </x:c>
      <x:c r="G54" s="57" t="n">
        <x:v>2025</x:v>
      </x:c>
      <x:c r="H54" s="47" t="n">
        <x:v>46202</x:v>
      </x:c>
      <x:c r="I54" t="str">
        <x:v>10개 월차 만근 소급</x:v>
      </x:c>
      <x:c r="J54" s="58" t="n">
        <x:v>46202</x:v>
      </x:c>
    </x:row>
    <x:row r="55">
      <x:c r="A55" t="str">
        <x:v>5fcfae0e-9972-46d6-b173-523710e6a757</x:v>
      </x:c>
      <x:c r="B55" t="str">
        <x:v>SY INC.</x:v>
      </x:c>
      <x:c r="C55" t="str">
        <x:v>임귀섭</x:v>
      </x:c>
      <x:c r="D55" t="str">
        <x:v>monthly</x:v>
      </x:c>
      <x:c r="E55" t="str">
        <x:v>2025-12</x:v>
      </x:c>
      <x:c r="F55" s="56" t="n">
        <x:v>1</x:v>
      </x:c>
      <x:c r="G55" s="57" t="n">
        <x:v>2025</x:v>
      </x:c>
      <x:c r="H55" s="47" t="n">
        <x:v>46202</x:v>
      </x:c>
      <x:c r="I55" t="str">
        <x:v>11개 월차 만근 소급</x:v>
      </x:c>
      <x:c r="J55" s="58" t="n">
        <x:v>46202</x:v>
      </x:c>
    </x:row>
    <x:row r="56">
      <x:c r="A56" t="str">
        <x:v>5fcfae0e-9972-46d6-b173-523710e6a757</x:v>
      </x:c>
      <x:c r="B56" t="str">
        <x:v>SY INC.</x:v>
      </x:c>
      <x:c r="C56" t="str">
        <x:v>임귀섭</x:v>
      </x:c>
      <x:c r="D56" t="str">
        <x:v>annual</x:v>
      </x:c>
      <x:c r="E56" t="str">
        <x:v>annual:1</x:v>
      </x:c>
      <x:c r="F56" s="56" t="n">
        <x:v>15</x:v>
      </x:c>
      <x:c r="G56" s="57" t="n">
        <x:v>2026</x:v>
      </x:c>
      <x:c r="H56" s="47" t="n">
        <x:v>46056</x:v>
      </x:c>
      <x:c r="I56" t="str">
        <x:v>만 1년차 연차 15일 자동부여</x:v>
      </x:c>
      <x:c r="J56" s="58" t="n">
        <x:v>46056</x:v>
      </x:c>
    </x:row>
    <x:row r="57">
      <x:c r="A57" t="str">
        <x:v>99165dcd-4622-4557-9ac8-6878632ee051</x:v>
      </x:c>
      <x:c r="B57" t="str">
        <x:v>박철홍정형외과</x:v>
      </x:c>
      <x:c r="C57" t="str">
        <x:v>김규빈</x:v>
      </x:c>
      <x:c r="D57" t="str">
        <x:v>monthly</x:v>
      </x:c>
      <x:c r="E57" t="str">
        <x:v>2026-03</x:v>
      </x:c>
      <x:c r="F57" s="56" t="n">
        <x:v>1</x:v>
      </x:c>
      <x:c r="G57" s="57" t="n">
        <x:v>2026</x:v>
      </x:c>
      <x:c r="H57" s="47" t="n">
        <x:v>46135</x:v>
      </x:c>
      <x:c r="I57" t="str">
        <x:v>1개월차 만근 +1일</x:v>
      </x:c>
      <x:c r="J57" s="58" t="n">
        <x:v>46135</x:v>
      </x:c>
    </x:row>
    <x:row r="58">
      <x:c r="A58" t="str">
        <x:v>99165dcd-4622-4557-9ac8-6878632ee051</x:v>
      </x:c>
      <x:c r="B58" t="str">
        <x:v>박철홍정형외과</x:v>
      </x:c>
      <x:c r="C58" t="str">
        <x:v>김규빈</x:v>
      </x:c>
      <x:c r="D58" t="str">
        <x:v>monthly</x:v>
      </x:c>
      <x:c r="E58" t="str">
        <x:v>2026-04</x:v>
      </x:c>
      <x:c r="F58" s="56" t="n">
        <x:v>1</x:v>
      </x:c>
      <x:c r="G58" s="57" t="n">
        <x:v>2026</x:v>
      </x:c>
      <x:c r="H58" s="47" t="n">
        <x:v>46165</x:v>
      </x:c>
      <x:c r="I58" t="str">
        <x:v>2개월차 만근 +1일</x:v>
      </x:c>
      <x:c r="J58" s="58" t="n">
        <x:v>46165</x:v>
      </x:c>
    </x:row>
    <x:row r="59">
      <x:c r="A59" t="str">
        <x:v>99165dcd-4622-4557-9ac8-6878632ee051</x:v>
      </x:c>
      <x:c r="B59" t="str">
        <x:v>박철홍정형외과</x:v>
      </x:c>
      <x:c r="C59" t="str">
        <x:v>김규빈</x:v>
      </x:c>
      <x:c r="D59" t="str">
        <x:v>monthly</x:v>
      </x:c>
      <x:c r="E59" t="str">
        <x:v>2026-05</x:v>
      </x:c>
      <x:c r="F59" s="56" t="n">
        <x:v>1</x:v>
      </x:c>
      <x:c r="G59" s="57" t="n">
        <x:v>2026</x:v>
      </x:c>
      <x:c r="H59" s="47" t="n">
        <x:v>46196</x:v>
      </x:c>
      <x:c r="I59" t="str">
        <x:v>3개월차 만근 +1일</x:v>
      </x:c>
      <x:c r="J59" s="58" t="n">
        <x:v>46196</x:v>
      </x:c>
    </x:row>
    <x:row r="60">
      <x:c r="A60" t="str">
        <x:v>2b9daf05-c892-43db-b1fa-af60b2a51eb2</x:v>
      </x:c>
      <x:c r="B60" t="str">
        <x:v>박철홍정형외과</x:v>
      </x:c>
      <x:c r="C60" t="str">
        <x:v>김민정</x:v>
      </x:c>
      <x:c r="D60" t="str">
        <x:v>monthly</x:v>
      </x:c>
      <x:c r="E60" t="str">
        <x:v>2025-11</x:v>
      </x:c>
      <x:c r="F60" s="56" t="n">
        <x:v>1</x:v>
      </x:c>
      <x:c r="G60" s="57" t="n">
        <x:v>2026</x:v>
      </x:c>
      <x:c r="H60" s="47" t="n">
        <x:v>46005</x:v>
      </x:c>
      <x:c r="I60" t="str">
        <x:v>1개월차 만근 +1일</x:v>
      </x:c>
      <x:c r="J60" s="58" t="n">
        <x:v>46005</x:v>
      </x:c>
    </x:row>
    <x:row r="61">
      <x:c r="A61" t="str">
        <x:v>2b9daf05-c892-43db-b1fa-af60b2a51eb2</x:v>
      </x:c>
      <x:c r="B61" t="str">
        <x:v>박철홍정형외과</x:v>
      </x:c>
      <x:c r="C61" t="str">
        <x:v>김민정</x:v>
      </x:c>
      <x:c r="D61" t="str">
        <x:v>monthly</x:v>
      </x:c>
      <x:c r="E61" t="str">
        <x:v>2025-12</x:v>
      </x:c>
      <x:c r="F61" s="56" t="n">
        <x:v>1</x:v>
      </x:c>
      <x:c r="G61" s="57" t="n">
        <x:v>2026</x:v>
      </x:c>
      <x:c r="H61" s="47" t="n">
        <x:v>46036</x:v>
      </x:c>
      <x:c r="I61" t="str">
        <x:v>2개월차 만근 +1일</x:v>
      </x:c>
      <x:c r="J61" s="58" t="n">
        <x:v>46036</x:v>
      </x:c>
    </x:row>
    <x:row r="62">
      <x:c r="A62" t="str">
        <x:v>2b9daf05-c892-43db-b1fa-af60b2a51eb2</x:v>
      </x:c>
      <x:c r="B62" t="str">
        <x:v>박철홍정형외과</x:v>
      </x:c>
      <x:c r="C62" t="str">
        <x:v>김민정</x:v>
      </x:c>
      <x:c r="D62" t="str">
        <x:v>monthly</x:v>
      </x:c>
      <x:c r="E62" t="str">
        <x:v>2026-01</x:v>
      </x:c>
      <x:c r="F62" s="56" t="n">
        <x:v>1</x:v>
      </x:c>
      <x:c r="G62" s="57" t="n">
        <x:v>2026</x:v>
      </x:c>
      <x:c r="H62" s="47" t="n">
        <x:v>46067</x:v>
      </x:c>
      <x:c r="I62" t="str">
        <x:v>3개월차 만근 +1일</x:v>
      </x:c>
      <x:c r="J62" s="58" t="n">
        <x:v>46067</x:v>
      </x:c>
    </x:row>
    <x:row r="63">
      <x:c r="A63" t="str">
        <x:v>2b9daf05-c892-43db-b1fa-af60b2a51eb2</x:v>
      </x:c>
      <x:c r="B63" t="str">
        <x:v>박철홍정형외과</x:v>
      </x:c>
      <x:c r="C63" t="str">
        <x:v>김민정</x:v>
      </x:c>
      <x:c r="D63" t="str">
        <x:v>monthly</x:v>
      </x:c>
      <x:c r="E63" t="str">
        <x:v>2026-02</x:v>
      </x:c>
      <x:c r="F63" s="56" t="n">
        <x:v>1</x:v>
      </x:c>
      <x:c r="G63" s="57" t="n">
        <x:v>2026</x:v>
      </x:c>
      <x:c r="H63" s="47" t="n">
        <x:v>46095</x:v>
      </x:c>
      <x:c r="I63" t="str">
        <x:v>4개월차 만근 +1일</x:v>
      </x:c>
      <x:c r="J63" s="58" t="n">
        <x:v>46095</x:v>
      </x:c>
    </x:row>
    <x:row r="64">
      <x:c r="A64" t="str">
        <x:v>2b9daf05-c892-43db-b1fa-af60b2a51eb2</x:v>
      </x:c>
      <x:c r="B64" t="str">
        <x:v>박철홍정형외과</x:v>
      </x:c>
      <x:c r="C64" t="str">
        <x:v>김민정</x:v>
      </x:c>
      <x:c r="D64" t="str">
        <x:v>monthly</x:v>
      </x:c>
      <x:c r="E64" t="str">
        <x:v>2026-03</x:v>
      </x:c>
      <x:c r="F64" s="56" t="n">
        <x:v>1</x:v>
      </x:c>
      <x:c r="G64" s="57" t="n">
        <x:v>2026</x:v>
      </x:c>
      <x:c r="H64" s="47" t="n">
        <x:v>46126</x:v>
      </x:c>
      <x:c r="I64" t="str">
        <x:v>5개월차 만근 +1일</x:v>
      </x:c>
      <x:c r="J64" s="58" t="n">
        <x:v>46126</x:v>
      </x:c>
    </x:row>
    <x:row r="65">
      <x:c r="A65" t="str">
        <x:v>2b9daf05-c892-43db-b1fa-af60b2a51eb2</x:v>
      </x:c>
      <x:c r="B65" t="str">
        <x:v>박철홍정형외과</x:v>
      </x:c>
      <x:c r="C65" t="str">
        <x:v>김민정</x:v>
      </x:c>
      <x:c r="D65" t="str">
        <x:v>monthly</x:v>
      </x:c>
      <x:c r="E65" t="str">
        <x:v>2026-04</x:v>
      </x:c>
      <x:c r="F65" s="56" t="n">
        <x:v>1</x:v>
      </x:c>
      <x:c r="G65" s="57" t="n">
        <x:v>2026</x:v>
      </x:c>
      <x:c r="H65" s="47" t="n">
        <x:v>46156</x:v>
      </x:c>
      <x:c r="I65" t="str">
        <x:v>6개월차 만근 +1일</x:v>
      </x:c>
      <x:c r="J65" s="58" t="n">
        <x:v>46156</x:v>
      </x:c>
    </x:row>
    <x:row r="66">
      <x:c r="A66" t="str">
        <x:v>2b9daf05-c892-43db-b1fa-af60b2a51eb2</x:v>
      </x:c>
      <x:c r="B66" t="str">
        <x:v>박철홍정형외과</x:v>
      </x:c>
      <x:c r="C66" t="str">
        <x:v>김민정</x:v>
      </x:c>
      <x:c r="D66" t="str">
        <x:v>monthly</x:v>
      </x:c>
      <x:c r="E66" t="str">
        <x:v>2026-05</x:v>
      </x:c>
      <x:c r="F66" s="56" t="n">
        <x:v>1</x:v>
      </x:c>
      <x:c r="G66" s="57" t="n">
        <x:v>2026</x:v>
      </x:c>
      <x:c r="H66" s="47" t="n">
        <x:v>46187</x:v>
      </x:c>
      <x:c r="I66" t="str">
        <x:v>7개월차 만근 +1일</x:v>
      </x:c>
      <x:c r="J66" s="58" t="n">
        <x:v>46187</x:v>
      </x:c>
    </x:row>
    <x:row r="67">
      <x:c r="A67" t="str">
        <x:v>2b9daf05-c892-43db-b1fa-af60b2a51eb2</x:v>
      </x:c>
      <x:c r="B67" t="str">
        <x:v>박철홍정형외과</x:v>
      </x:c>
      <x:c r="C67" t="str">
        <x:v>김민정</x:v>
      </x:c>
      <x:c r="D67" t="str">
        <x:v>monthly</x:v>
      </x:c>
      <x:c r="E67" t="str">
        <x:v>2026-06</x:v>
      </x:c>
      <x:c r="F67" s="56" t="n">
        <x:v>1</x:v>
      </x:c>
      <x:c r="G67" s="57" t="n">
        <x:v>2026</x:v>
      </x:c>
      <x:c r="H67" s="47" t="n">
        <x:v>46218</x:v>
      </x:c>
      <x:c r="I67" t="str">
        <x:v>8개월차 만근 +1일(백필)</x:v>
      </x:c>
      <x:c r="J67" s="58" t="n">
        <x:v>46218</x:v>
      </x:c>
    </x:row>
    <x:row r="68">
      <x:c r="A68" t="str">
        <x:v>fed2b60b-61eb-41a5-b35d-8c25b367fb45</x:v>
      </x:c>
      <x:c r="B68" t="str">
        <x:v>박철홍정형외과</x:v>
      </x:c>
      <x:c r="C68" t="str">
        <x:v>김수지</x:v>
      </x:c>
      <x:c r="D68" t="str">
        <x:v>monthly</x:v>
      </x:c>
      <x:c r="E68" t="str">
        <x:v>2023-09</x:v>
      </x:c>
      <x:c r="F68" s="56" t="n">
        <x:v>1</x:v>
      </x:c>
      <x:c r="G68" s="57" t="n">
        <x:v>2023</x:v>
      </x:c>
      <x:c r="H68" s="47" t="n">
        <x:v>46202</x:v>
      </x:c>
      <x:c r="I68" t="str">
        <x:v>1개 월차 만근 소급</x:v>
      </x:c>
      <x:c r="J68" s="58" t="n">
        <x:v>46202</x:v>
      </x:c>
    </x:row>
    <x:row r="69">
      <x:c r="A69" t="str">
        <x:v>fed2b60b-61eb-41a5-b35d-8c25b367fb45</x:v>
      </x:c>
      <x:c r="B69" t="str">
        <x:v>박철홍정형외과</x:v>
      </x:c>
      <x:c r="C69" t="str">
        <x:v>김수지</x:v>
      </x:c>
      <x:c r="D69" t="str">
        <x:v>monthly</x:v>
      </x:c>
      <x:c r="E69" t="str">
        <x:v>2023-10</x:v>
      </x:c>
      <x:c r="F69" s="56" t="n">
        <x:v>1</x:v>
      </x:c>
      <x:c r="G69" s="57" t="n">
        <x:v>2023</x:v>
      </x:c>
      <x:c r="H69" s="47" t="n">
        <x:v>46202</x:v>
      </x:c>
      <x:c r="I69" t="str">
        <x:v>2개 월차 만근 소급</x:v>
      </x:c>
      <x:c r="J69" s="58" t="n">
        <x:v>46202</x:v>
      </x:c>
    </x:row>
    <x:row r="70">
      <x:c r="A70" t="str">
        <x:v>fed2b60b-61eb-41a5-b35d-8c25b367fb45</x:v>
      </x:c>
      <x:c r="B70" t="str">
        <x:v>박철홍정형외과</x:v>
      </x:c>
      <x:c r="C70" t="str">
        <x:v>김수지</x:v>
      </x:c>
      <x:c r="D70" t="str">
        <x:v>monthly</x:v>
      </x:c>
      <x:c r="E70" t="str">
        <x:v>2023-11</x:v>
      </x:c>
      <x:c r="F70" s="56" t="n">
        <x:v>1</x:v>
      </x:c>
      <x:c r="G70" s="57" t="n">
        <x:v>2023</x:v>
      </x:c>
      <x:c r="H70" s="47" t="n">
        <x:v>46202</x:v>
      </x:c>
      <x:c r="I70" t="str">
        <x:v>3개 월차 만근 소급</x:v>
      </x:c>
      <x:c r="J70" s="58" t="n">
        <x:v>46202</x:v>
      </x:c>
    </x:row>
    <x:row r="71">
      <x:c r="A71" t="str">
        <x:v>fed2b60b-61eb-41a5-b35d-8c25b367fb45</x:v>
      </x:c>
      <x:c r="B71" t="str">
        <x:v>박철홍정형외과</x:v>
      </x:c>
      <x:c r="C71" t="str">
        <x:v>김수지</x:v>
      </x:c>
      <x:c r="D71" t="str">
        <x:v>monthly</x:v>
      </x:c>
      <x:c r="E71" t="str">
        <x:v>2023-12</x:v>
      </x:c>
      <x:c r="F71" s="56" t="n">
        <x:v>1</x:v>
      </x:c>
      <x:c r="G71" s="57" t="n">
        <x:v>2023</x:v>
      </x:c>
      <x:c r="H71" s="47" t="n">
        <x:v>46202</x:v>
      </x:c>
      <x:c r="I71" t="str">
        <x:v>4개 월차 만근 소급</x:v>
      </x:c>
      <x:c r="J71" s="58" t="n">
        <x:v>46202</x:v>
      </x:c>
    </x:row>
    <x:row r="72">
      <x:c r="A72" t="str">
        <x:v>fed2b60b-61eb-41a5-b35d-8c25b367fb45</x:v>
      </x:c>
      <x:c r="B72" t="str">
        <x:v>박철홍정형외과</x:v>
      </x:c>
      <x:c r="C72" t="str">
        <x:v>김수지</x:v>
      </x:c>
      <x:c r="D72" t="str">
        <x:v>monthly</x:v>
      </x:c>
      <x:c r="E72" t="str">
        <x:v>2024-01</x:v>
      </x:c>
      <x:c r="F72" s="56" t="n">
        <x:v>1</x:v>
      </x:c>
      <x:c r="G72" s="57" t="n">
        <x:v>2024</x:v>
      </x:c>
      <x:c r="H72" s="47" t="n">
        <x:v>46202</x:v>
      </x:c>
      <x:c r="I72" t="str">
        <x:v>5개 월차 만근 소급</x:v>
      </x:c>
      <x:c r="J72" s="58" t="n">
        <x:v>46202</x:v>
      </x:c>
    </x:row>
    <x:row r="73">
      <x:c r="A73" t="str">
        <x:v>fed2b60b-61eb-41a5-b35d-8c25b367fb45</x:v>
      </x:c>
      <x:c r="B73" t="str">
        <x:v>박철홍정형외과</x:v>
      </x:c>
      <x:c r="C73" t="str">
        <x:v>김수지</x:v>
      </x:c>
      <x:c r="D73" t="str">
        <x:v>monthly</x:v>
      </x:c>
      <x:c r="E73" t="str">
        <x:v>2024-02</x:v>
      </x:c>
      <x:c r="F73" s="56" t="n">
        <x:v>1</x:v>
      </x:c>
      <x:c r="G73" s="57" t="n">
        <x:v>2024</x:v>
      </x:c>
      <x:c r="H73" s="47" t="n">
        <x:v>46202</x:v>
      </x:c>
      <x:c r="I73" t="str">
        <x:v>6개 월차 만근 소급</x:v>
      </x:c>
      <x:c r="J73" s="58" t="n">
        <x:v>46202</x:v>
      </x:c>
    </x:row>
    <x:row r="74">
      <x:c r="A74" t="str">
        <x:v>fed2b60b-61eb-41a5-b35d-8c25b367fb45</x:v>
      </x:c>
      <x:c r="B74" t="str">
        <x:v>박철홍정형외과</x:v>
      </x:c>
      <x:c r="C74" t="str">
        <x:v>김수지</x:v>
      </x:c>
      <x:c r="D74" t="str">
        <x:v>monthly</x:v>
      </x:c>
      <x:c r="E74" t="str">
        <x:v>2024-03</x:v>
      </x:c>
      <x:c r="F74" s="56" t="n">
        <x:v>1</x:v>
      </x:c>
      <x:c r="G74" s="57" t="n">
        <x:v>2024</x:v>
      </x:c>
      <x:c r="H74" s="47" t="n">
        <x:v>46202</x:v>
      </x:c>
      <x:c r="I74" t="str">
        <x:v>7개 월차 만근 소급</x:v>
      </x:c>
      <x:c r="J74" s="58" t="n">
        <x:v>46202</x:v>
      </x:c>
    </x:row>
    <x:row r="75">
      <x:c r="A75" t="str">
        <x:v>fed2b60b-61eb-41a5-b35d-8c25b367fb45</x:v>
      </x:c>
      <x:c r="B75" t="str">
        <x:v>박철홍정형외과</x:v>
      </x:c>
      <x:c r="C75" t="str">
        <x:v>김수지</x:v>
      </x:c>
      <x:c r="D75" t="str">
        <x:v>monthly</x:v>
      </x:c>
      <x:c r="E75" t="str">
        <x:v>2024-04</x:v>
      </x:c>
      <x:c r="F75" s="56" t="n">
        <x:v>1</x:v>
      </x:c>
      <x:c r="G75" s="57" t="n">
        <x:v>2024</x:v>
      </x:c>
      <x:c r="H75" s="47" t="n">
        <x:v>46202</x:v>
      </x:c>
      <x:c r="I75" t="str">
        <x:v>8개 월차 만근 소급</x:v>
      </x:c>
      <x:c r="J75" s="58" t="n">
        <x:v>46202</x:v>
      </x:c>
    </x:row>
    <x:row r="76">
      <x:c r="A76" t="str">
        <x:v>fed2b60b-61eb-41a5-b35d-8c25b367fb45</x:v>
      </x:c>
      <x:c r="B76" t="str">
        <x:v>박철홍정형외과</x:v>
      </x:c>
      <x:c r="C76" t="str">
        <x:v>김수지</x:v>
      </x:c>
      <x:c r="D76" t="str">
        <x:v>monthly</x:v>
      </x:c>
      <x:c r="E76" t="str">
        <x:v>2024-05</x:v>
      </x:c>
      <x:c r="F76" s="56" t="n">
        <x:v>1</x:v>
      </x:c>
      <x:c r="G76" s="57" t="n">
        <x:v>2024</x:v>
      </x:c>
      <x:c r="H76" s="47" t="n">
        <x:v>46202</x:v>
      </x:c>
      <x:c r="I76" t="str">
        <x:v>9개 월차 만근 소급</x:v>
      </x:c>
      <x:c r="J76" s="58" t="n">
        <x:v>46202</x:v>
      </x:c>
    </x:row>
    <x:row r="77">
      <x:c r="A77" t="str">
        <x:v>fed2b60b-61eb-41a5-b35d-8c25b367fb45</x:v>
      </x:c>
      <x:c r="B77" t="str">
        <x:v>박철홍정형외과</x:v>
      </x:c>
      <x:c r="C77" t="str">
        <x:v>김수지</x:v>
      </x:c>
      <x:c r="D77" t="str">
        <x:v>monthly</x:v>
      </x:c>
      <x:c r="E77" t="str">
        <x:v>2024-06</x:v>
      </x:c>
      <x:c r="F77" s="56" t="n">
        <x:v>1</x:v>
      </x:c>
      <x:c r="G77" s="57" t="n">
        <x:v>2024</x:v>
      </x:c>
      <x:c r="H77" s="47" t="n">
        <x:v>46202</x:v>
      </x:c>
      <x:c r="I77" t="str">
        <x:v>10개 월차 만근 소급</x:v>
      </x:c>
      <x:c r="J77" s="58" t="n">
        <x:v>46202</x:v>
      </x:c>
    </x:row>
    <x:row r="78">
      <x:c r="A78" t="str">
        <x:v>fed2b60b-61eb-41a5-b35d-8c25b367fb45</x:v>
      </x:c>
      <x:c r="B78" t="str">
        <x:v>박철홍정형외과</x:v>
      </x:c>
      <x:c r="C78" t="str">
        <x:v>김수지</x:v>
      </x:c>
      <x:c r="D78" t="str">
        <x:v>monthly</x:v>
      </x:c>
      <x:c r="E78" t="str">
        <x:v>2024-07</x:v>
      </x:c>
      <x:c r="F78" s="56" t="n">
        <x:v>1</x:v>
      </x:c>
      <x:c r="G78" s="57" t="n">
        <x:v>2024</x:v>
      </x:c>
      <x:c r="H78" s="47" t="n">
        <x:v>46202</x:v>
      </x:c>
      <x:c r="I78" t="str">
        <x:v>11개 월차 만근 소급</x:v>
      </x:c>
      <x:c r="J78" s="58" t="n">
        <x:v>46202</x:v>
      </x:c>
    </x:row>
    <x:row r="79">
      <x:c r="A79" t="str">
        <x:v>fed2b60b-61eb-41a5-b35d-8c25b367fb45</x:v>
      </x:c>
      <x:c r="B79" t="str">
        <x:v>박철홍정형외과</x:v>
      </x:c>
      <x:c r="C79" t="str">
        <x:v>김수지</x:v>
      </x:c>
      <x:c r="D79" t="str">
        <x:v>annual</x:v>
      </x:c>
      <x:c r="E79" t="str">
        <x:v>annual:1</x:v>
      </x:c>
      <x:c r="F79" s="56" t="n">
        <x:v>15</x:v>
      </x:c>
      <x:c r="G79" s="57" t="n">
        <x:v>2026</x:v>
      </x:c>
      <x:c r="H79" s="47" t="n">
        <x:v>45555</x:v>
      </x:c>
      <x:c r="I79" t="str">
        <x:v>만 1년차 연차 15일 자동부여</x:v>
      </x:c>
      <x:c r="J79" s="58" t="n">
        <x:v>45555</x:v>
      </x:c>
    </x:row>
    <x:row r="80">
      <x:c r="A80" t="str">
        <x:v>fed2b60b-61eb-41a5-b35d-8c25b367fb45</x:v>
      </x:c>
      <x:c r="B80" t="str">
        <x:v>박철홍정형외과</x:v>
      </x:c>
      <x:c r="C80" t="str">
        <x:v>김수지</x:v>
      </x:c>
      <x:c r="D80" t="str">
        <x:v>annual</x:v>
      </x:c>
      <x:c r="E80" t="str">
        <x:v>annual:2</x:v>
      </x:c>
      <x:c r="F80" s="56" t="n">
        <x:v>15</x:v>
      </x:c>
      <x:c r="G80" s="57" t="n">
        <x:v>2026</x:v>
      </x:c>
      <x:c r="H80" s="47" t="n">
        <x:v>45920</x:v>
      </x:c>
      <x:c r="I80" t="str">
        <x:v>만 2년차 연차 15일 자동부여</x:v>
      </x:c>
      <x:c r="J80" s="58" t="n">
        <x:v>45920</x:v>
      </x:c>
    </x:row>
    <x:row r="81">
      <x:c r="A81" t="str">
        <x:v>36481ba4-e1ad-457b-b264-bd3fbe2f3637</x:v>
      </x:c>
      <x:c r="B81" t="str">
        <x:v>박철홍정형외과</x:v>
      </x:c>
      <x:c r="C81" t="str">
        <x:v>김영대</x:v>
      </x:c>
      <x:c r="D81" t="str">
        <x:v>monthly</x:v>
      </x:c>
      <x:c r="E81" t="str">
        <x:v>2025-03</x:v>
      </x:c>
      <x:c r="F81" s="56" t="n">
        <x:v>1</x:v>
      </x:c>
      <x:c r="G81" s="57" t="n">
        <x:v>2025</x:v>
      </x:c>
      <x:c r="H81" s="47" t="n">
        <x:v>46202</x:v>
      </x:c>
      <x:c r="I81" t="str">
        <x:v>1개 월차 만근 소급</x:v>
      </x:c>
      <x:c r="J81" s="58" t="n">
        <x:v>46202</x:v>
      </x:c>
    </x:row>
    <x:row r="82">
      <x:c r="A82" t="str">
        <x:v>36481ba4-e1ad-457b-b264-bd3fbe2f3637</x:v>
      </x:c>
      <x:c r="B82" t="str">
        <x:v>박철홍정형외과</x:v>
      </x:c>
      <x:c r="C82" t="str">
        <x:v>김영대</x:v>
      </x:c>
      <x:c r="D82" t="str">
        <x:v>monthly</x:v>
      </x:c>
      <x:c r="E82" t="str">
        <x:v>2025-04</x:v>
      </x:c>
      <x:c r="F82" s="56" t="n">
        <x:v>1</x:v>
      </x:c>
      <x:c r="G82" s="57" t="n">
        <x:v>2025</x:v>
      </x:c>
      <x:c r="H82" s="47" t="n">
        <x:v>46202</x:v>
      </x:c>
      <x:c r="I82" t="str">
        <x:v>2개 월차 만근 소급</x:v>
      </x:c>
      <x:c r="J82" s="58" t="n">
        <x:v>46202</x:v>
      </x:c>
    </x:row>
    <x:row r="83">
      <x:c r="A83" t="str">
        <x:v>36481ba4-e1ad-457b-b264-bd3fbe2f3637</x:v>
      </x:c>
      <x:c r="B83" t="str">
        <x:v>박철홍정형외과</x:v>
      </x:c>
      <x:c r="C83" t="str">
        <x:v>김영대</x:v>
      </x:c>
      <x:c r="D83" t="str">
        <x:v>monthly</x:v>
      </x:c>
      <x:c r="E83" t="str">
        <x:v>2025-05</x:v>
      </x:c>
      <x:c r="F83" s="56" t="n">
        <x:v>1</x:v>
      </x:c>
      <x:c r="G83" s="57" t="n">
        <x:v>2025</x:v>
      </x:c>
      <x:c r="H83" s="47" t="n">
        <x:v>46202</x:v>
      </x:c>
      <x:c r="I83" t="str">
        <x:v>3개 월차 만근 소급</x:v>
      </x:c>
      <x:c r="J83" s="58" t="n">
        <x:v>46202</x:v>
      </x:c>
    </x:row>
    <x:row r="84">
      <x:c r="A84" t="str">
        <x:v>36481ba4-e1ad-457b-b264-bd3fbe2f3637</x:v>
      </x:c>
      <x:c r="B84" t="str">
        <x:v>박철홍정형외과</x:v>
      </x:c>
      <x:c r="C84" t="str">
        <x:v>김영대</x:v>
      </x:c>
      <x:c r="D84" t="str">
        <x:v>monthly</x:v>
      </x:c>
      <x:c r="E84" t="str">
        <x:v>2025-06</x:v>
      </x:c>
      <x:c r="F84" s="56" t="n">
        <x:v>1</x:v>
      </x:c>
      <x:c r="G84" s="57" t="n">
        <x:v>2025</x:v>
      </x:c>
      <x:c r="H84" s="47" t="n">
        <x:v>46202</x:v>
      </x:c>
      <x:c r="I84" t="str">
        <x:v>4개 월차 만근 소급</x:v>
      </x:c>
      <x:c r="J84" s="58" t="n">
        <x:v>46202</x:v>
      </x:c>
    </x:row>
    <x:row r="85">
      <x:c r="A85" t="str">
        <x:v>36481ba4-e1ad-457b-b264-bd3fbe2f3637</x:v>
      </x:c>
      <x:c r="B85" t="str">
        <x:v>박철홍정형외과</x:v>
      </x:c>
      <x:c r="C85" t="str">
        <x:v>김영대</x:v>
      </x:c>
      <x:c r="D85" t="str">
        <x:v>monthly</x:v>
      </x:c>
      <x:c r="E85" t="str">
        <x:v>2025-07</x:v>
      </x:c>
      <x:c r="F85" s="56" t="n">
        <x:v>1</x:v>
      </x:c>
      <x:c r="G85" s="57" t="n">
        <x:v>2025</x:v>
      </x:c>
      <x:c r="H85" s="47" t="n">
        <x:v>46202</x:v>
      </x:c>
      <x:c r="I85" t="str">
        <x:v>5개 월차 만근 소급</x:v>
      </x:c>
      <x:c r="J85" s="58" t="n">
        <x:v>46202</x:v>
      </x:c>
    </x:row>
    <x:row r="86">
      <x:c r="A86" t="str">
        <x:v>36481ba4-e1ad-457b-b264-bd3fbe2f3637</x:v>
      </x:c>
      <x:c r="B86" t="str">
        <x:v>박철홍정형외과</x:v>
      </x:c>
      <x:c r="C86" t="str">
        <x:v>김영대</x:v>
      </x:c>
      <x:c r="D86" t="str">
        <x:v>monthly</x:v>
      </x:c>
      <x:c r="E86" t="str">
        <x:v>2025-08</x:v>
      </x:c>
      <x:c r="F86" s="56" t="n">
        <x:v>1</x:v>
      </x:c>
      <x:c r="G86" s="57" t="n">
        <x:v>2025</x:v>
      </x:c>
      <x:c r="H86" s="47" t="n">
        <x:v>46202</x:v>
      </x:c>
      <x:c r="I86" t="str">
        <x:v>6개 월차 만근 소급</x:v>
      </x:c>
      <x:c r="J86" s="58" t="n">
        <x:v>46202</x:v>
      </x:c>
    </x:row>
    <x:row r="87">
      <x:c r="A87" t="str">
        <x:v>36481ba4-e1ad-457b-b264-bd3fbe2f3637</x:v>
      </x:c>
      <x:c r="B87" t="str">
        <x:v>박철홍정형외과</x:v>
      </x:c>
      <x:c r="C87" t="str">
        <x:v>김영대</x:v>
      </x:c>
      <x:c r="D87" t="str">
        <x:v>monthly</x:v>
      </x:c>
      <x:c r="E87" t="str">
        <x:v>2025-09</x:v>
      </x:c>
      <x:c r="F87" s="56" t="n">
        <x:v>1</x:v>
      </x:c>
      <x:c r="G87" s="57" t="n">
        <x:v>2025</x:v>
      </x:c>
      <x:c r="H87" s="47" t="n">
        <x:v>46202</x:v>
      </x:c>
      <x:c r="I87" t="str">
        <x:v>7개 월차 만근 소급</x:v>
      </x:c>
      <x:c r="J87" s="58" t="n">
        <x:v>46202</x:v>
      </x:c>
    </x:row>
    <x:row r="88">
      <x:c r="A88" t="str">
        <x:v>36481ba4-e1ad-457b-b264-bd3fbe2f3637</x:v>
      </x:c>
      <x:c r="B88" t="str">
        <x:v>박철홍정형외과</x:v>
      </x:c>
      <x:c r="C88" t="str">
        <x:v>김영대</x:v>
      </x:c>
      <x:c r="D88" t="str">
        <x:v>monthly</x:v>
      </x:c>
      <x:c r="E88" t="str">
        <x:v>2025-10</x:v>
      </x:c>
      <x:c r="F88" s="56" t="n">
        <x:v>1</x:v>
      </x:c>
      <x:c r="G88" s="57" t="n">
        <x:v>2025</x:v>
      </x:c>
      <x:c r="H88" s="47" t="n">
        <x:v>46202</x:v>
      </x:c>
      <x:c r="I88" t="str">
        <x:v>8개 월차 만근 소급</x:v>
      </x:c>
      <x:c r="J88" s="58" t="n">
        <x:v>46202</x:v>
      </x:c>
    </x:row>
    <x:row r="89">
      <x:c r="A89" t="str">
        <x:v>36481ba4-e1ad-457b-b264-bd3fbe2f3637</x:v>
      </x:c>
      <x:c r="B89" t="str">
        <x:v>박철홍정형외과</x:v>
      </x:c>
      <x:c r="C89" t="str">
        <x:v>김영대</x:v>
      </x:c>
      <x:c r="D89" t="str">
        <x:v>monthly</x:v>
      </x:c>
      <x:c r="E89" t="str">
        <x:v>2025-11</x:v>
      </x:c>
      <x:c r="F89" s="56" t="n">
        <x:v>1</x:v>
      </x:c>
      <x:c r="G89" s="57" t="n">
        <x:v>2025</x:v>
      </x:c>
      <x:c r="H89" s="47" t="n">
        <x:v>46202</x:v>
      </x:c>
      <x:c r="I89" t="str">
        <x:v>9개 월차 만근 소급</x:v>
      </x:c>
      <x:c r="J89" s="58" t="n">
        <x:v>46202</x:v>
      </x:c>
    </x:row>
    <x:row r="90">
      <x:c r="A90" t="str">
        <x:v>36481ba4-e1ad-457b-b264-bd3fbe2f3637</x:v>
      </x:c>
      <x:c r="B90" t="str">
        <x:v>박철홍정형외과</x:v>
      </x:c>
      <x:c r="C90" t="str">
        <x:v>김영대</x:v>
      </x:c>
      <x:c r="D90" t="str">
        <x:v>monthly</x:v>
      </x:c>
      <x:c r="E90" t="str">
        <x:v>2025-12</x:v>
      </x:c>
      <x:c r="F90" s="56" t="n">
        <x:v>1</x:v>
      </x:c>
      <x:c r="G90" s="57" t="n">
        <x:v>2025</x:v>
      </x:c>
      <x:c r="H90" s="47" t="n">
        <x:v>46202</x:v>
      </x:c>
      <x:c r="I90" t="str">
        <x:v>10개 월차 만근 소급</x:v>
      </x:c>
      <x:c r="J90" s="58" t="n">
        <x:v>46202</x:v>
      </x:c>
    </x:row>
    <x:row r="91">
      <x:c r="A91" t="str">
        <x:v>36481ba4-e1ad-457b-b264-bd3fbe2f3637</x:v>
      </x:c>
      <x:c r="B91" t="str">
        <x:v>박철홍정형외과</x:v>
      </x:c>
      <x:c r="C91" t="str">
        <x:v>김영대</x:v>
      </x:c>
      <x:c r="D91" t="str">
        <x:v>annual</x:v>
      </x:c>
      <x:c r="E91" t="str">
        <x:v>annual:1</x:v>
      </x:c>
      <x:c r="F91" s="56" t="n">
        <x:v>15</x:v>
      </x:c>
      <x:c r="G91" s="57" t="n">
        <x:v>2026</x:v>
      </x:c>
      <x:c r="H91" s="47" t="n">
        <x:v>46098</x:v>
      </x:c>
      <x:c r="I91" t="str">
        <x:v>만 1년차 연차 15일 자동부여</x:v>
      </x:c>
      <x:c r="J91" s="58" t="n">
        <x:v>46098</x:v>
      </x:c>
    </x:row>
    <x:row r="92">
      <x:c r="A92" t="str">
        <x:v>36481ba4-e1ad-457b-b264-bd3fbe2f3637</x:v>
      </x:c>
      <x:c r="B92" t="str">
        <x:v>박철홍정형외과</x:v>
      </x:c>
      <x:c r="C92" t="str">
        <x:v>김영대</x:v>
      </x:c>
      <x:c r="D92" t="str">
        <x:v>monthly</x:v>
      </x:c>
      <x:c r="E92" t="str">
        <x:v>2026-01</x:v>
      </x:c>
      <x:c r="F92" s="56" t="n">
        <x:v>1</x:v>
      </x:c>
      <x:c r="G92" s="57" t="n">
        <x:v>2026</x:v>
      </x:c>
      <x:c r="H92" s="47" t="n">
        <x:v>46202</x:v>
      </x:c>
      <x:c r="I92" t="str">
        <x:v>11개 월차 만근 소급</x:v>
      </x:c>
      <x:c r="J92" s="58" t="n">
        <x:v>46202</x:v>
      </x:c>
    </x:row>
    <x:row r="93">
      <x:c r="A93" t="str">
        <x:v>86c32af1-8e07-4b88-b914-01f6de180a65</x:v>
      </x:c>
      <x:c r="B93" t="str">
        <x:v>박철홍정형외과</x:v>
      </x:c>
      <x:c r="C93" t="str">
        <x:v>김재영</x:v>
      </x:c>
      <x:c r="D93" t="str">
        <x:v>monthly</x:v>
      </x:c>
      <x:c r="E93" t="str">
        <x:v>2026-03</x:v>
      </x:c>
      <x:c r="F93" s="56" t="n">
        <x:v>1</x:v>
      </x:c>
      <x:c r="G93" s="57" t="n">
        <x:v>2026</x:v>
      </x:c>
      <x:c r="H93" s="47" t="n">
        <x:v>46130</x:v>
      </x:c>
      <x:c r="I93" t="str">
        <x:v>1개월차 만근 +1일</x:v>
      </x:c>
      <x:c r="J93" s="58" t="n">
        <x:v>46130</x:v>
      </x:c>
    </x:row>
    <x:row r="94">
      <x:c r="A94" t="str">
        <x:v>86c32af1-8e07-4b88-b914-01f6de180a65</x:v>
      </x:c>
      <x:c r="B94" t="str">
        <x:v>박철홍정형외과</x:v>
      </x:c>
      <x:c r="C94" t="str">
        <x:v>김재영</x:v>
      </x:c>
      <x:c r="D94" t="str">
        <x:v>monthly</x:v>
      </x:c>
      <x:c r="E94" t="str">
        <x:v>2026-04</x:v>
      </x:c>
      <x:c r="F94" s="56" t="n">
        <x:v>1</x:v>
      </x:c>
      <x:c r="G94" s="57" t="n">
        <x:v>2026</x:v>
      </x:c>
      <x:c r="H94" s="47" t="n">
        <x:v>46160</x:v>
      </x:c>
      <x:c r="I94" t="str">
        <x:v>2개월차 만근 +1일</x:v>
      </x:c>
      <x:c r="J94" s="58" t="n">
        <x:v>46160</x:v>
      </x:c>
    </x:row>
    <x:row r="95">
      <x:c r="A95" t="str">
        <x:v>86c32af1-8e07-4b88-b914-01f6de180a65</x:v>
      </x:c>
      <x:c r="B95" t="str">
        <x:v>박철홍정형외과</x:v>
      </x:c>
      <x:c r="C95" t="str">
        <x:v>김재영</x:v>
      </x:c>
      <x:c r="D95" t="str">
        <x:v>monthly</x:v>
      </x:c>
      <x:c r="E95" t="str">
        <x:v>2026-05</x:v>
      </x:c>
      <x:c r="F95" s="56" t="n">
        <x:v>1</x:v>
      </x:c>
      <x:c r="G95" s="57" t="n">
        <x:v>2026</x:v>
      </x:c>
      <x:c r="H95" s="47" t="n">
        <x:v>46191</x:v>
      </x:c>
      <x:c r="I95" t="str">
        <x:v>3개월차 만근 +1일</x:v>
      </x:c>
      <x:c r="J95" s="58" t="n">
        <x:v>46191</x:v>
      </x:c>
    </x:row>
    <x:row r="96">
      <x:c r="A96" t="str">
        <x:v>5bf3e720-85f2-41db-880e-2324ac47533d</x:v>
      </x:c>
      <x:c r="B96" t="str">
        <x:v>박철홍정형외과</x:v>
      </x:c>
      <x:c r="C96" t="str">
        <x:v>김정수</x:v>
      </x:c>
      <x:c r="D96" t="str">
        <x:v>monthly</x:v>
      </x:c>
      <x:c r="E96" t="str">
        <x:v>2026-03</x:v>
      </x:c>
      <x:c r="F96" s="56" t="n">
        <x:v>1</x:v>
      </x:c>
      <x:c r="G96" s="57" t="n">
        <x:v>2026</x:v>
      </x:c>
      <x:c r="H96" s="47" t="n">
        <x:v>46135</x:v>
      </x:c>
      <x:c r="I96" t="str">
        <x:v>1개월차 만근 +1일</x:v>
      </x:c>
      <x:c r="J96" s="58" t="n">
        <x:v>46135</x:v>
      </x:c>
    </x:row>
    <x:row r="97">
      <x:c r="A97" t="str">
        <x:v>5bf3e720-85f2-41db-880e-2324ac47533d</x:v>
      </x:c>
      <x:c r="B97" t="str">
        <x:v>박철홍정형외과</x:v>
      </x:c>
      <x:c r="C97" t="str">
        <x:v>김정수</x:v>
      </x:c>
      <x:c r="D97" t="str">
        <x:v>monthly</x:v>
      </x:c>
      <x:c r="E97" t="str">
        <x:v>2026-04</x:v>
      </x:c>
      <x:c r="F97" s="56" t="n">
        <x:v>1</x:v>
      </x:c>
      <x:c r="G97" s="57" t="n">
        <x:v>2026</x:v>
      </x:c>
      <x:c r="H97" s="47" t="n">
        <x:v>46165</x:v>
      </x:c>
      <x:c r="I97" t="str">
        <x:v>2개월차 만근 +1일</x:v>
      </x:c>
      <x:c r="J97" s="58" t="n">
        <x:v>46165</x:v>
      </x:c>
    </x:row>
    <x:row r="98">
      <x:c r="A98" t="str">
        <x:v>5bf3e720-85f2-41db-880e-2324ac47533d</x:v>
      </x:c>
      <x:c r="B98" t="str">
        <x:v>박철홍정형외과</x:v>
      </x:c>
      <x:c r="C98" t="str">
        <x:v>김정수</x:v>
      </x:c>
      <x:c r="D98" t="str">
        <x:v>monthly</x:v>
      </x:c>
      <x:c r="E98" t="str">
        <x:v>2026-05</x:v>
      </x:c>
      <x:c r="F98" s="56" t="n">
        <x:v>1</x:v>
      </x:c>
      <x:c r="G98" s="57" t="n">
        <x:v>2026</x:v>
      </x:c>
      <x:c r="H98" s="47" t="n">
        <x:v>46196</x:v>
      </x:c>
      <x:c r="I98" t="str">
        <x:v>3개월차 만근 +1일</x:v>
      </x:c>
      <x:c r="J98" s="58" t="n">
        <x:v>46196</x:v>
      </x:c>
    </x:row>
    <x:row r="99">
      <x:c r="A99" t="str">
        <x:v>420a6c33-1c5e-4e6e-806a-fc5db10e6ca9</x:v>
      </x:c>
      <x:c r="B99" t="str">
        <x:v>박철홍정형외과</x:v>
      </x:c>
      <x:c r="C99" t="str">
        <x:v>김지오</x:v>
      </x:c>
      <x:c r="D99" t="str">
        <x:v>monthly</x:v>
      </x:c>
      <x:c r="E99" t="str">
        <x:v>2025-02</x:v>
      </x:c>
      <x:c r="F99" s="56" t="n">
        <x:v>1</x:v>
      </x:c>
      <x:c r="G99" s="57" t="n">
        <x:v>2025</x:v>
      </x:c>
      <x:c r="H99" s="47" t="n">
        <x:v>46202</x:v>
      </x:c>
      <x:c r="I99" t="str">
        <x:v>1개 월차 만근 소급</x:v>
      </x:c>
      <x:c r="J99" s="58" t="n">
        <x:v>46202</x:v>
      </x:c>
    </x:row>
    <x:row r="100">
      <x:c r="A100" t="str">
        <x:v>420a6c33-1c5e-4e6e-806a-fc5db10e6ca9</x:v>
      </x:c>
      <x:c r="B100" t="str">
        <x:v>박철홍정형외과</x:v>
      </x:c>
      <x:c r="C100" t="str">
        <x:v>김지오</x:v>
      </x:c>
      <x:c r="D100" t="str">
        <x:v>monthly</x:v>
      </x:c>
      <x:c r="E100" t="str">
        <x:v>2025-03</x:v>
      </x:c>
      <x:c r="F100" s="56" t="n">
        <x:v>1</x:v>
      </x:c>
      <x:c r="G100" s="57" t="n">
        <x:v>2025</x:v>
      </x:c>
      <x:c r="H100" s="47" t="n">
        <x:v>46202</x:v>
      </x:c>
      <x:c r="I100" t="str">
        <x:v>2개 월차 만근 소급</x:v>
      </x:c>
      <x:c r="J100" s="58" t="n">
        <x:v>46202</x:v>
      </x:c>
    </x:row>
    <x:row r="101">
      <x:c r="A101" t="str">
        <x:v>420a6c33-1c5e-4e6e-806a-fc5db10e6ca9</x:v>
      </x:c>
      <x:c r="B101" t="str">
        <x:v>박철홍정형외과</x:v>
      </x:c>
      <x:c r="C101" t="str">
        <x:v>김지오</x:v>
      </x:c>
      <x:c r="D101" t="str">
        <x:v>monthly</x:v>
      </x:c>
      <x:c r="E101" t="str">
        <x:v>2025-04</x:v>
      </x:c>
      <x:c r="F101" s="56" t="n">
        <x:v>1</x:v>
      </x:c>
      <x:c r="G101" s="57" t="n">
        <x:v>2025</x:v>
      </x:c>
      <x:c r="H101" s="47" t="n">
        <x:v>46202</x:v>
      </x:c>
      <x:c r="I101" t="str">
        <x:v>3개 월차 만근 소급</x:v>
      </x:c>
      <x:c r="J101" s="58" t="n">
        <x:v>46202</x:v>
      </x:c>
    </x:row>
    <x:row r="102">
      <x:c r="A102" t="str">
        <x:v>420a6c33-1c5e-4e6e-806a-fc5db10e6ca9</x:v>
      </x:c>
      <x:c r="B102" t="str">
        <x:v>박철홍정형외과</x:v>
      </x:c>
      <x:c r="C102" t="str">
        <x:v>김지오</x:v>
      </x:c>
      <x:c r="D102" t="str">
        <x:v>monthly</x:v>
      </x:c>
      <x:c r="E102" t="str">
        <x:v>2025-05</x:v>
      </x:c>
      <x:c r="F102" s="56" t="n">
        <x:v>1</x:v>
      </x:c>
      <x:c r="G102" s="57" t="n">
        <x:v>2025</x:v>
      </x:c>
      <x:c r="H102" s="47" t="n">
        <x:v>46202</x:v>
      </x:c>
      <x:c r="I102" t="str">
        <x:v>4개 월차 만근 소급</x:v>
      </x:c>
      <x:c r="J102" s="58" t="n">
        <x:v>46202</x:v>
      </x:c>
    </x:row>
    <x:row r="103">
      <x:c r="A103" t="str">
        <x:v>420a6c33-1c5e-4e6e-806a-fc5db10e6ca9</x:v>
      </x:c>
      <x:c r="B103" t="str">
        <x:v>박철홍정형외과</x:v>
      </x:c>
      <x:c r="C103" t="str">
        <x:v>김지오</x:v>
      </x:c>
      <x:c r="D103" t="str">
        <x:v>monthly</x:v>
      </x:c>
      <x:c r="E103" t="str">
        <x:v>2025-06</x:v>
      </x:c>
      <x:c r="F103" s="56" t="n">
        <x:v>1</x:v>
      </x:c>
      <x:c r="G103" s="57" t="n">
        <x:v>2025</x:v>
      </x:c>
      <x:c r="H103" s="47" t="n">
        <x:v>46202</x:v>
      </x:c>
      <x:c r="I103" t="str">
        <x:v>5개 월차 만근 소급</x:v>
      </x:c>
      <x:c r="J103" s="58" t="n">
        <x:v>46202</x:v>
      </x:c>
    </x:row>
    <x:row r="104">
      <x:c r="A104" t="str">
        <x:v>420a6c33-1c5e-4e6e-806a-fc5db10e6ca9</x:v>
      </x:c>
      <x:c r="B104" t="str">
        <x:v>박철홍정형외과</x:v>
      </x:c>
      <x:c r="C104" t="str">
        <x:v>김지오</x:v>
      </x:c>
      <x:c r="D104" t="str">
        <x:v>monthly</x:v>
      </x:c>
      <x:c r="E104" t="str">
        <x:v>2025-07</x:v>
      </x:c>
      <x:c r="F104" s="56" t="n">
        <x:v>1</x:v>
      </x:c>
      <x:c r="G104" s="57" t="n">
        <x:v>2025</x:v>
      </x:c>
      <x:c r="H104" s="47" t="n">
        <x:v>46202</x:v>
      </x:c>
      <x:c r="I104" t="str">
        <x:v>6개 월차 만근 소급</x:v>
      </x:c>
      <x:c r="J104" s="58" t="n">
        <x:v>46202</x:v>
      </x:c>
    </x:row>
    <x:row r="105">
      <x:c r="A105" t="str">
        <x:v>420a6c33-1c5e-4e6e-806a-fc5db10e6ca9</x:v>
      </x:c>
      <x:c r="B105" t="str">
        <x:v>박철홍정형외과</x:v>
      </x:c>
      <x:c r="C105" t="str">
        <x:v>김지오</x:v>
      </x:c>
      <x:c r="D105" t="str">
        <x:v>monthly</x:v>
      </x:c>
      <x:c r="E105" t="str">
        <x:v>2025-08</x:v>
      </x:c>
      <x:c r="F105" s="56" t="n">
        <x:v>1</x:v>
      </x:c>
      <x:c r="G105" s="57" t="n">
        <x:v>2025</x:v>
      </x:c>
      <x:c r="H105" s="47" t="n">
        <x:v>46202</x:v>
      </x:c>
      <x:c r="I105" t="str">
        <x:v>7개 월차 만근 소급</x:v>
      </x:c>
      <x:c r="J105" s="58" t="n">
        <x:v>46202</x:v>
      </x:c>
    </x:row>
    <x:row r="106">
      <x:c r="A106" t="str">
        <x:v>420a6c33-1c5e-4e6e-806a-fc5db10e6ca9</x:v>
      </x:c>
      <x:c r="B106" t="str">
        <x:v>박철홍정형외과</x:v>
      </x:c>
      <x:c r="C106" t="str">
        <x:v>김지오</x:v>
      </x:c>
      <x:c r="D106" t="str">
        <x:v>monthly</x:v>
      </x:c>
      <x:c r="E106" t="str">
        <x:v>2025-09</x:v>
      </x:c>
      <x:c r="F106" s="56" t="n">
        <x:v>1</x:v>
      </x:c>
      <x:c r="G106" s="57" t="n">
        <x:v>2025</x:v>
      </x:c>
      <x:c r="H106" s="47" t="n">
        <x:v>46202</x:v>
      </x:c>
      <x:c r="I106" t="str">
        <x:v>8개 월차 만근 소급</x:v>
      </x:c>
      <x:c r="J106" s="58" t="n">
        <x:v>46202</x:v>
      </x:c>
    </x:row>
    <x:row r="107">
      <x:c r="A107" t="str">
        <x:v>420a6c33-1c5e-4e6e-806a-fc5db10e6ca9</x:v>
      </x:c>
      <x:c r="B107" t="str">
        <x:v>박철홍정형외과</x:v>
      </x:c>
      <x:c r="C107" t="str">
        <x:v>김지오</x:v>
      </x:c>
      <x:c r="D107" t="str">
        <x:v>monthly</x:v>
      </x:c>
      <x:c r="E107" t="str">
        <x:v>2025-10</x:v>
      </x:c>
      <x:c r="F107" s="56" t="n">
        <x:v>1</x:v>
      </x:c>
      <x:c r="G107" s="57" t="n">
        <x:v>2025</x:v>
      </x:c>
      <x:c r="H107" s="47" t="n">
        <x:v>46202</x:v>
      </x:c>
      <x:c r="I107" t="str">
        <x:v>9개 월차 만근 소급</x:v>
      </x:c>
      <x:c r="J107" s="58" t="n">
        <x:v>46202</x:v>
      </x:c>
    </x:row>
    <x:row r="108">
      <x:c r="A108" t="str">
        <x:v>420a6c33-1c5e-4e6e-806a-fc5db10e6ca9</x:v>
      </x:c>
      <x:c r="B108" t="str">
        <x:v>박철홍정형외과</x:v>
      </x:c>
      <x:c r="C108" t="str">
        <x:v>김지오</x:v>
      </x:c>
      <x:c r="D108" t="str">
        <x:v>monthly</x:v>
      </x:c>
      <x:c r="E108" t="str">
        <x:v>2025-11</x:v>
      </x:c>
      <x:c r="F108" s="56" t="n">
        <x:v>1</x:v>
      </x:c>
      <x:c r="G108" s="57" t="n">
        <x:v>2025</x:v>
      </x:c>
      <x:c r="H108" s="47" t="n">
        <x:v>46202</x:v>
      </x:c>
      <x:c r="I108" t="str">
        <x:v>10개 월차 만근 소급</x:v>
      </x:c>
      <x:c r="J108" s="58" t="n">
        <x:v>46202</x:v>
      </x:c>
    </x:row>
    <x:row r="109">
      <x:c r="A109" t="str">
        <x:v>420a6c33-1c5e-4e6e-806a-fc5db10e6ca9</x:v>
      </x:c>
      <x:c r="B109" t="str">
        <x:v>박철홍정형외과</x:v>
      </x:c>
      <x:c r="C109" t="str">
        <x:v>김지오</x:v>
      </x:c>
      <x:c r="D109" t="str">
        <x:v>monthly</x:v>
      </x:c>
      <x:c r="E109" t="str">
        <x:v>2025-12</x:v>
      </x:c>
      <x:c r="F109" s="56" t="n">
        <x:v>1</x:v>
      </x:c>
      <x:c r="G109" s="57" t="n">
        <x:v>2025</x:v>
      </x:c>
      <x:c r="H109" s="47" t="n">
        <x:v>46202</x:v>
      </x:c>
      <x:c r="I109" t="str">
        <x:v>11개 월차 만근 소급</x:v>
      </x:c>
      <x:c r="J109" s="58" t="n">
        <x:v>46202</x:v>
      </x:c>
    </x:row>
    <x:row r="110">
      <x:c r="A110" t="str">
        <x:v>420a6c33-1c5e-4e6e-806a-fc5db10e6ca9</x:v>
      </x:c>
      <x:c r="B110" t="str">
        <x:v>박철홍정형외과</x:v>
      </x:c>
      <x:c r="C110" t="str">
        <x:v>김지오</x:v>
      </x:c>
      <x:c r="D110" t="str">
        <x:v>annual</x:v>
      </x:c>
      <x:c r="E110" t="str">
        <x:v>annual:1</x:v>
      </x:c>
      <x:c r="F110" s="56" t="n">
        <x:v>15</x:v>
      </x:c>
      <x:c r="G110" s="57" t="n">
        <x:v>2026</x:v>
      </x:c>
      <x:c r="H110" s="47" t="n">
        <x:v>46077</x:v>
      </x:c>
      <x:c r="I110" t="str">
        <x:v>만 1년차 연차 15일 자동부여</x:v>
      </x:c>
      <x:c r="J110" s="58" t="n">
        <x:v>46077</x:v>
      </x:c>
    </x:row>
    <x:row r="111">
      <x:c r="A111" t="str">
        <x:v>dd1bd093-2a9b-4f5d-8538-a28fd124828d</x:v>
      </x:c>
      <x:c r="B111" t="str">
        <x:v>박철홍정형외과</x:v>
      </x:c>
      <x:c r="C111" t="str">
        <x:v>박민지</x:v>
      </x:c>
      <x:c r="D111" t="str">
        <x:v>monthly</x:v>
      </x:c>
      <x:c r="E111" t="str">
        <x:v>2025-11</x:v>
      </x:c>
      <x:c r="F111" s="56" t="n">
        <x:v>1</x:v>
      </x:c>
      <x:c r="G111" s="57" t="n">
        <x:v>2026</x:v>
      </x:c>
      <x:c r="H111" s="47" t="n">
        <x:v>45992</x:v>
      </x:c>
      <x:c r="I111" t="str">
        <x:v>1개월차 만근 +1일</x:v>
      </x:c>
      <x:c r="J111" s="58" t="n">
        <x:v>45992</x:v>
      </x:c>
    </x:row>
    <x:row r="112">
      <x:c r="A112" t="str">
        <x:v>dd1bd093-2a9b-4f5d-8538-a28fd124828d</x:v>
      </x:c>
      <x:c r="B112" t="str">
        <x:v>박철홍정형외과</x:v>
      </x:c>
      <x:c r="C112" t="str">
        <x:v>박민지</x:v>
      </x:c>
      <x:c r="D112" t="str">
        <x:v>monthly</x:v>
      </x:c>
      <x:c r="E112" t="str">
        <x:v>2025-12</x:v>
      </x:c>
      <x:c r="F112" s="56" t="n">
        <x:v>1</x:v>
      </x:c>
      <x:c r="G112" s="57" t="n">
        <x:v>2026</x:v>
      </x:c>
      <x:c r="H112" s="47" t="n">
        <x:v>46023</x:v>
      </x:c>
      <x:c r="I112" t="str">
        <x:v>2개월차 만근 +1일</x:v>
      </x:c>
      <x:c r="J112" s="58" t="n">
        <x:v>46023</x:v>
      </x:c>
    </x:row>
    <x:row r="113">
      <x:c r="A113" t="str">
        <x:v>dd1bd093-2a9b-4f5d-8538-a28fd124828d</x:v>
      </x:c>
      <x:c r="B113" t="str">
        <x:v>박철홍정형외과</x:v>
      </x:c>
      <x:c r="C113" t="str">
        <x:v>박민지</x:v>
      </x:c>
      <x:c r="D113" t="str">
        <x:v>monthly</x:v>
      </x:c>
      <x:c r="E113" t="str">
        <x:v>2026-01</x:v>
      </x:c>
      <x:c r="F113" s="56" t="n">
        <x:v>1</x:v>
      </x:c>
      <x:c r="G113" s="57" t="n">
        <x:v>2026</x:v>
      </x:c>
      <x:c r="H113" s="47" t="n">
        <x:v>46054</x:v>
      </x:c>
      <x:c r="I113" t="str">
        <x:v>3개월차 만근 +1일</x:v>
      </x:c>
      <x:c r="J113" s="58" t="n">
        <x:v>46054</x:v>
      </x:c>
    </x:row>
    <x:row r="114">
      <x:c r="A114" t="str">
        <x:v>dd1bd093-2a9b-4f5d-8538-a28fd124828d</x:v>
      </x:c>
      <x:c r="B114" t="str">
        <x:v>박철홍정형외과</x:v>
      </x:c>
      <x:c r="C114" t="str">
        <x:v>박민지</x:v>
      </x:c>
      <x:c r="D114" t="str">
        <x:v>monthly</x:v>
      </x:c>
      <x:c r="E114" t="str">
        <x:v>2026-02</x:v>
      </x:c>
      <x:c r="F114" s="56" t="n">
        <x:v>1</x:v>
      </x:c>
      <x:c r="G114" s="57" t="n">
        <x:v>2026</x:v>
      </x:c>
      <x:c r="H114" s="47" t="n">
        <x:v>46082</x:v>
      </x:c>
      <x:c r="I114" t="str">
        <x:v>4개월차 만근 +1일</x:v>
      </x:c>
      <x:c r="J114" s="58" t="n">
        <x:v>46082</x:v>
      </x:c>
    </x:row>
    <x:row r="115">
      <x:c r="A115" t="str">
        <x:v>dd1bd093-2a9b-4f5d-8538-a28fd124828d</x:v>
      </x:c>
      <x:c r="B115" t="str">
        <x:v>박철홍정형외과</x:v>
      </x:c>
      <x:c r="C115" t="str">
        <x:v>박민지</x:v>
      </x:c>
      <x:c r="D115" t="str">
        <x:v>monthly</x:v>
      </x:c>
      <x:c r="E115" t="str">
        <x:v>2026-03</x:v>
      </x:c>
      <x:c r="F115" s="56" t="n">
        <x:v>1</x:v>
      </x:c>
      <x:c r="G115" s="57" t="n">
        <x:v>2026</x:v>
      </x:c>
      <x:c r="H115" s="47" t="n">
        <x:v>46113</x:v>
      </x:c>
      <x:c r="I115" t="str">
        <x:v>5개월차 만근 +1일</x:v>
      </x:c>
      <x:c r="J115" s="58" t="n">
        <x:v>46113</x:v>
      </x:c>
    </x:row>
    <x:row r="116">
      <x:c r="A116" t="str">
        <x:v>dd1bd093-2a9b-4f5d-8538-a28fd124828d</x:v>
      </x:c>
      <x:c r="B116" t="str">
        <x:v>박철홍정형외과</x:v>
      </x:c>
      <x:c r="C116" t="str">
        <x:v>박민지</x:v>
      </x:c>
      <x:c r="D116" t="str">
        <x:v>monthly</x:v>
      </x:c>
      <x:c r="E116" t="str">
        <x:v>2026-04</x:v>
      </x:c>
      <x:c r="F116" s="56" t="n">
        <x:v>1</x:v>
      </x:c>
      <x:c r="G116" s="57" t="n">
        <x:v>2026</x:v>
      </x:c>
      <x:c r="H116" s="47" t="n">
        <x:v>46143</x:v>
      </x:c>
      <x:c r="I116" t="str">
        <x:v>6개월차 만근 +1일</x:v>
      </x:c>
      <x:c r="J116" s="58" t="n">
        <x:v>46143</x:v>
      </x:c>
    </x:row>
    <x:row r="117">
      <x:c r="A117" t="str">
        <x:v>dd1bd093-2a9b-4f5d-8538-a28fd124828d</x:v>
      </x:c>
      <x:c r="B117" t="str">
        <x:v>박철홍정형외과</x:v>
      </x:c>
      <x:c r="C117" t="str">
        <x:v>박민지</x:v>
      </x:c>
      <x:c r="D117" t="str">
        <x:v>monthly</x:v>
      </x:c>
      <x:c r="E117" t="str">
        <x:v>2026-05</x:v>
      </x:c>
      <x:c r="F117" s="56" t="n">
        <x:v>1</x:v>
      </x:c>
      <x:c r="G117" s="57" t="n">
        <x:v>2026</x:v>
      </x:c>
      <x:c r="H117" s="47" t="n">
        <x:v>46174</x:v>
      </x:c>
      <x:c r="I117" t="str">
        <x:v>7개월차 만근 +1일</x:v>
      </x:c>
      <x:c r="J117" s="58" t="n">
        <x:v>46174</x:v>
      </x:c>
    </x:row>
    <x:row r="118">
      <x:c r="A118" t="str">
        <x:v>dd1bd093-2a9b-4f5d-8538-a28fd124828d</x:v>
      </x:c>
      <x:c r="B118" t="str">
        <x:v>박철홍정형외과</x:v>
      </x:c>
      <x:c r="C118" t="str">
        <x:v>박민지</x:v>
      </x:c>
      <x:c r="D118" t="str">
        <x:v>monthly</x:v>
      </x:c>
      <x:c r="E118" t="str">
        <x:v>2026-06</x:v>
      </x:c>
      <x:c r="F118" s="56" t="n">
        <x:v>1</x:v>
      </x:c>
      <x:c r="G118" s="57" t="n">
        <x:v>2026</x:v>
      </x:c>
      <x:c r="H118" s="47" t="n">
        <x:v>46218</x:v>
      </x:c>
      <x:c r="I118" t="str">
        <x:v>8개월차 만근 +1일(백필)</x:v>
      </x:c>
      <x:c r="J118" s="58" t="n">
        <x:v>46218</x:v>
      </x:c>
    </x:row>
    <x:row r="119">
      <x:c r="A119" t="str">
        <x:v>6c465694-92bd-4306-8014-2fd436fd21aa</x:v>
      </x:c>
      <x:c r="B119" t="str">
        <x:v>박철홍정형외과</x:v>
      </x:c>
      <x:c r="C119" t="str">
        <x:v>박소연</x:v>
      </x:c>
      <x:c r="D119" t="str">
        <x:v>monthly</x:v>
      </x:c>
      <x:c r="E119" t="str">
        <x:v>2026-01</x:v>
      </x:c>
      <x:c r="F119" s="56" t="n">
        <x:v>1</x:v>
      </x:c>
      <x:c r="G119" s="57" t="n">
        <x:v>2026</x:v>
      </x:c>
      <x:c r="H119" s="47" t="n">
        <x:v>46066</x:v>
      </x:c>
      <x:c r="I119" t="str">
        <x:v>1개월차 만근 +1일</x:v>
      </x:c>
      <x:c r="J119" s="58" t="n">
        <x:v>46066</x:v>
      </x:c>
    </x:row>
    <x:row r="120">
      <x:c r="A120" t="str">
        <x:v>6c465694-92bd-4306-8014-2fd436fd21aa</x:v>
      </x:c>
      <x:c r="B120" t="str">
        <x:v>박철홍정형외과</x:v>
      </x:c>
      <x:c r="C120" t="str">
        <x:v>박소연</x:v>
      </x:c>
      <x:c r="D120" t="str">
        <x:v>monthly</x:v>
      </x:c>
      <x:c r="E120" t="str">
        <x:v>2026-02</x:v>
      </x:c>
      <x:c r="F120" s="56" t="n">
        <x:v>1</x:v>
      </x:c>
      <x:c r="G120" s="57" t="n">
        <x:v>2026</x:v>
      </x:c>
      <x:c r="H120" s="47" t="n">
        <x:v>46094</x:v>
      </x:c>
      <x:c r="I120" t="str">
        <x:v>2개월차 만근 +1일</x:v>
      </x:c>
      <x:c r="J120" s="58" t="n">
        <x:v>46094</x:v>
      </x:c>
    </x:row>
    <x:row r="121">
      <x:c r="A121" t="str">
        <x:v>6c465694-92bd-4306-8014-2fd436fd21aa</x:v>
      </x:c>
      <x:c r="B121" t="str">
        <x:v>박철홍정형외과</x:v>
      </x:c>
      <x:c r="C121" t="str">
        <x:v>박소연</x:v>
      </x:c>
      <x:c r="D121" t="str">
        <x:v>monthly</x:v>
      </x:c>
      <x:c r="E121" t="str">
        <x:v>2026-03</x:v>
      </x:c>
      <x:c r="F121" s="56" t="n">
        <x:v>1</x:v>
      </x:c>
      <x:c r="G121" s="57" t="n">
        <x:v>2026</x:v>
      </x:c>
      <x:c r="H121" s="47" t="n">
        <x:v>46125</x:v>
      </x:c>
      <x:c r="I121" t="str">
        <x:v>3개월차 만근 +1일</x:v>
      </x:c>
      <x:c r="J121" s="58" t="n">
        <x:v>46125</x:v>
      </x:c>
    </x:row>
    <x:row r="122">
      <x:c r="A122" t="str">
        <x:v>6c465694-92bd-4306-8014-2fd436fd21aa</x:v>
      </x:c>
      <x:c r="B122" t="str">
        <x:v>박철홍정형외과</x:v>
      </x:c>
      <x:c r="C122" t="str">
        <x:v>박소연</x:v>
      </x:c>
      <x:c r="D122" t="str">
        <x:v>monthly</x:v>
      </x:c>
      <x:c r="E122" t="str">
        <x:v>2026-04</x:v>
      </x:c>
      <x:c r="F122" s="56" t="n">
        <x:v>1</x:v>
      </x:c>
      <x:c r="G122" s="57" t="n">
        <x:v>2026</x:v>
      </x:c>
      <x:c r="H122" s="47" t="n">
        <x:v>46155</x:v>
      </x:c>
      <x:c r="I122" t="str">
        <x:v>4개월차 만근 +1일</x:v>
      </x:c>
      <x:c r="J122" s="58" t="n">
        <x:v>46155</x:v>
      </x:c>
    </x:row>
    <x:row r="123">
      <x:c r="A123" t="str">
        <x:v>6c465694-92bd-4306-8014-2fd436fd21aa</x:v>
      </x:c>
      <x:c r="B123" t="str">
        <x:v>박철홍정형외과</x:v>
      </x:c>
      <x:c r="C123" t="str">
        <x:v>박소연</x:v>
      </x:c>
      <x:c r="D123" t="str">
        <x:v>monthly</x:v>
      </x:c>
      <x:c r="E123" t="str">
        <x:v>2026-05</x:v>
      </x:c>
      <x:c r="F123" s="56" t="n">
        <x:v>1</x:v>
      </x:c>
      <x:c r="G123" s="57" t="n">
        <x:v>2026</x:v>
      </x:c>
      <x:c r="H123" s="47" t="n">
        <x:v>46186</x:v>
      </x:c>
      <x:c r="I123" t="str">
        <x:v>5개월차 만근 +1일</x:v>
      </x:c>
      <x:c r="J123" s="58" t="n">
        <x:v>46186</x:v>
      </x:c>
    </x:row>
    <x:row r="124">
      <x:c r="A124" t="str">
        <x:v>6c465694-92bd-4306-8014-2fd436fd21aa</x:v>
      </x:c>
      <x:c r="B124" t="str">
        <x:v>박철홍정형외과</x:v>
      </x:c>
      <x:c r="C124" t="str">
        <x:v>박소연</x:v>
      </x:c>
      <x:c r="D124" t="str">
        <x:v>monthly</x:v>
      </x:c>
      <x:c r="E124" t="str">
        <x:v>2026-06</x:v>
      </x:c>
      <x:c r="F124" s="56" t="n">
        <x:v>1</x:v>
      </x:c>
      <x:c r="G124" s="57" t="n">
        <x:v>2026</x:v>
      </x:c>
      <x:c r="H124" s="47" t="n">
        <x:v>46218</x:v>
      </x:c>
      <x:c r="I124" t="str">
        <x:v>6개월차 만근 +1일(백필)</x:v>
      </x:c>
      <x:c r="J124" s="58" t="n">
        <x:v>46218</x:v>
      </x:c>
    </x:row>
    <x:row r="125">
      <x:c r="A125" t="str">
        <x:v>fad75292-64f8-453a-b45d-9ea0baa42971</x:v>
      </x:c>
      <x:c r="B125" t="str">
        <x:v>박철홍정형외과</x:v>
      </x:c>
      <x:c r="C125" t="str">
        <x:v>박유진</x:v>
      </x:c>
      <x:c r="D125" t="str">
        <x:v>monthly</x:v>
      </x:c>
      <x:c r="E125" t="str">
        <x:v>2025-04</x:v>
      </x:c>
      <x:c r="F125" s="56" t="n">
        <x:v>1</x:v>
      </x:c>
      <x:c r="G125" s="57" t="n">
        <x:v>2025</x:v>
      </x:c>
      <x:c r="H125" s="47" t="n">
        <x:v>46202</x:v>
      </x:c>
      <x:c r="I125" t="str">
        <x:v>1개 월차 만근 소급</x:v>
      </x:c>
      <x:c r="J125" s="58" t="n">
        <x:v>46202</x:v>
      </x:c>
    </x:row>
    <x:row r="126">
      <x:c r="A126" t="str">
        <x:v>fad75292-64f8-453a-b45d-9ea0baa42971</x:v>
      </x:c>
      <x:c r="B126" t="str">
        <x:v>박철홍정형외과</x:v>
      </x:c>
      <x:c r="C126" t="str">
        <x:v>박유진</x:v>
      </x:c>
      <x:c r="D126" t="str">
        <x:v>monthly</x:v>
      </x:c>
      <x:c r="E126" t="str">
        <x:v>2025-05</x:v>
      </x:c>
      <x:c r="F126" s="56" t="n">
        <x:v>1</x:v>
      </x:c>
      <x:c r="G126" s="57" t="n">
        <x:v>2025</x:v>
      </x:c>
      <x:c r="H126" s="47" t="n">
        <x:v>46202</x:v>
      </x:c>
      <x:c r="I126" t="str">
        <x:v>2개 월차 만근 소급</x:v>
      </x:c>
      <x:c r="J126" s="58" t="n">
        <x:v>46202</x:v>
      </x:c>
    </x:row>
    <x:row r="127">
      <x:c r="A127" t="str">
        <x:v>fad75292-64f8-453a-b45d-9ea0baa42971</x:v>
      </x:c>
      <x:c r="B127" t="str">
        <x:v>박철홍정형외과</x:v>
      </x:c>
      <x:c r="C127" t="str">
        <x:v>박유진</x:v>
      </x:c>
      <x:c r="D127" t="str">
        <x:v>monthly</x:v>
      </x:c>
      <x:c r="E127" t="str">
        <x:v>2025-06</x:v>
      </x:c>
      <x:c r="F127" s="56" t="n">
        <x:v>1</x:v>
      </x:c>
      <x:c r="G127" s="57" t="n">
        <x:v>2025</x:v>
      </x:c>
      <x:c r="H127" s="47" t="n">
        <x:v>46202</x:v>
      </x:c>
      <x:c r="I127" t="str">
        <x:v>3개 월차 만근 소급</x:v>
      </x:c>
      <x:c r="J127" s="58" t="n">
        <x:v>46202</x:v>
      </x:c>
    </x:row>
    <x:row r="128">
      <x:c r="A128" t="str">
        <x:v>fad75292-64f8-453a-b45d-9ea0baa42971</x:v>
      </x:c>
      <x:c r="B128" t="str">
        <x:v>박철홍정형외과</x:v>
      </x:c>
      <x:c r="C128" t="str">
        <x:v>박유진</x:v>
      </x:c>
      <x:c r="D128" t="str">
        <x:v>monthly</x:v>
      </x:c>
      <x:c r="E128" t="str">
        <x:v>2025-07</x:v>
      </x:c>
      <x:c r="F128" s="56" t="n">
        <x:v>1</x:v>
      </x:c>
      <x:c r="G128" s="57" t="n">
        <x:v>2025</x:v>
      </x:c>
      <x:c r="H128" s="47" t="n">
        <x:v>46202</x:v>
      </x:c>
      <x:c r="I128" t="str">
        <x:v>4개 월차 만근 소급</x:v>
      </x:c>
      <x:c r="J128" s="58" t="n">
        <x:v>46202</x:v>
      </x:c>
    </x:row>
    <x:row r="129">
      <x:c r="A129" t="str">
        <x:v>fad75292-64f8-453a-b45d-9ea0baa42971</x:v>
      </x:c>
      <x:c r="B129" t="str">
        <x:v>박철홍정형외과</x:v>
      </x:c>
      <x:c r="C129" t="str">
        <x:v>박유진</x:v>
      </x:c>
      <x:c r="D129" t="str">
        <x:v>monthly</x:v>
      </x:c>
      <x:c r="E129" t="str">
        <x:v>2025-08</x:v>
      </x:c>
      <x:c r="F129" s="56" t="n">
        <x:v>1</x:v>
      </x:c>
      <x:c r="G129" s="57" t="n">
        <x:v>2025</x:v>
      </x:c>
      <x:c r="H129" s="47" t="n">
        <x:v>46202</x:v>
      </x:c>
      <x:c r="I129" t="str">
        <x:v>5개 월차 만근 소급</x:v>
      </x:c>
      <x:c r="J129" s="58" t="n">
        <x:v>46202</x:v>
      </x:c>
    </x:row>
    <x:row r="130">
      <x:c r="A130" t="str">
        <x:v>fad75292-64f8-453a-b45d-9ea0baa42971</x:v>
      </x:c>
      <x:c r="B130" t="str">
        <x:v>박철홍정형외과</x:v>
      </x:c>
      <x:c r="C130" t="str">
        <x:v>박유진</x:v>
      </x:c>
      <x:c r="D130" t="str">
        <x:v>monthly</x:v>
      </x:c>
      <x:c r="E130" t="str">
        <x:v>2025-09</x:v>
      </x:c>
      <x:c r="F130" s="56" t="n">
        <x:v>1</x:v>
      </x:c>
      <x:c r="G130" s="57" t="n">
        <x:v>2025</x:v>
      </x:c>
      <x:c r="H130" s="47" t="n">
        <x:v>46202</x:v>
      </x:c>
      <x:c r="I130" t="str">
        <x:v>6개 월차 만근 소급</x:v>
      </x:c>
      <x:c r="J130" s="58" t="n">
        <x:v>46202</x:v>
      </x:c>
    </x:row>
    <x:row r="131">
      <x:c r="A131" t="str">
        <x:v>fad75292-64f8-453a-b45d-9ea0baa42971</x:v>
      </x:c>
      <x:c r="B131" t="str">
        <x:v>박철홍정형외과</x:v>
      </x:c>
      <x:c r="C131" t="str">
        <x:v>박유진</x:v>
      </x:c>
      <x:c r="D131" t="str">
        <x:v>monthly</x:v>
      </x:c>
      <x:c r="E131" t="str">
        <x:v>2025-10</x:v>
      </x:c>
      <x:c r="F131" s="56" t="n">
        <x:v>1</x:v>
      </x:c>
      <x:c r="G131" s="57" t="n">
        <x:v>2025</x:v>
      </x:c>
      <x:c r="H131" s="47" t="n">
        <x:v>46202</x:v>
      </x:c>
      <x:c r="I131" t="str">
        <x:v>7개 월차 만근 소급</x:v>
      </x:c>
      <x:c r="J131" s="58" t="n">
        <x:v>46202</x:v>
      </x:c>
    </x:row>
    <x:row r="132">
      <x:c r="A132" t="str">
        <x:v>fad75292-64f8-453a-b45d-9ea0baa42971</x:v>
      </x:c>
      <x:c r="B132" t="str">
        <x:v>박철홍정형외과</x:v>
      </x:c>
      <x:c r="C132" t="str">
        <x:v>박유진</x:v>
      </x:c>
      <x:c r="D132" t="str">
        <x:v>monthly</x:v>
      </x:c>
      <x:c r="E132" t="str">
        <x:v>2025-11</x:v>
      </x:c>
      <x:c r="F132" s="56" t="n">
        <x:v>1</x:v>
      </x:c>
      <x:c r="G132" s="57" t="n">
        <x:v>2025</x:v>
      </x:c>
      <x:c r="H132" s="47" t="n">
        <x:v>46202</x:v>
      </x:c>
      <x:c r="I132" t="str">
        <x:v>8개 월차 만근 소급</x:v>
      </x:c>
      <x:c r="J132" s="58" t="n">
        <x:v>46202</x:v>
      </x:c>
    </x:row>
    <x:row r="133">
      <x:c r="A133" t="str">
        <x:v>fad75292-64f8-453a-b45d-9ea0baa42971</x:v>
      </x:c>
      <x:c r="B133" t="str">
        <x:v>박철홍정형외과</x:v>
      </x:c>
      <x:c r="C133" t="str">
        <x:v>박유진</x:v>
      </x:c>
      <x:c r="D133" t="str">
        <x:v>monthly</x:v>
      </x:c>
      <x:c r="E133" t="str">
        <x:v>2025-12</x:v>
      </x:c>
      <x:c r="F133" s="56" t="n">
        <x:v>1</x:v>
      </x:c>
      <x:c r="G133" s="57" t="n">
        <x:v>2025</x:v>
      </x:c>
      <x:c r="H133" s="47" t="n">
        <x:v>46202</x:v>
      </x:c>
      <x:c r="I133" t="str">
        <x:v>9개 월차 만근 소급</x:v>
      </x:c>
      <x:c r="J133" s="58" t="n">
        <x:v>46202</x:v>
      </x:c>
    </x:row>
    <x:row r="134">
      <x:c r="A134" t="str">
        <x:v>fad75292-64f8-453a-b45d-9ea0baa42971</x:v>
      </x:c>
      <x:c r="B134" t="str">
        <x:v>박철홍정형외과</x:v>
      </x:c>
      <x:c r="C134" t="str">
        <x:v>박유진</x:v>
      </x:c>
      <x:c r="D134" t="str">
        <x:v>annual</x:v>
      </x:c>
      <x:c r="E134" t="str">
        <x:v>annual:1</x:v>
      </x:c>
      <x:c r="F134" s="56" t="n">
        <x:v>15</x:v>
      </x:c>
      <x:c r="G134" s="57" t="n">
        <x:v>2026</x:v>
      </x:c>
      <x:c r="H134" s="47" t="n">
        <x:v>46182</x:v>
      </x:c>
      <x:c r="I134" t="str">
        <x:v>만 1년차 연차 15일 자동부여</x:v>
      </x:c>
      <x:c r="J134" s="58" t="n">
        <x:v>46182</x:v>
      </x:c>
    </x:row>
    <x:row r="135">
      <x:c r="A135" t="str">
        <x:v>fad75292-64f8-453a-b45d-9ea0baa42971</x:v>
      </x:c>
      <x:c r="B135" t="str">
        <x:v>박철홍정형외과</x:v>
      </x:c>
      <x:c r="C135" t="str">
        <x:v>박유진</x:v>
      </x:c>
      <x:c r="D135" t="str">
        <x:v>monthly</x:v>
      </x:c>
      <x:c r="E135" t="str">
        <x:v>2026-01</x:v>
      </x:c>
      <x:c r="F135" s="56" t="n">
        <x:v>1</x:v>
      </x:c>
      <x:c r="G135" s="57" t="n">
        <x:v>2026</x:v>
      </x:c>
      <x:c r="H135" s="47" t="n">
        <x:v>46202</x:v>
      </x:c>
      <x:c r="I135" t="str">
        <x:v>10개 월차 만근 소급</x:v>
      </x:c>
      <x:c r="J135" s="58" t="n">
        <x:v>46202</x:v>
      </x:c>
    </x:row>
    <x:row r="136">
      <x:c r="A136" t="str">
        <x:v>fad75292-64f8-453a-b45d-9ea0baa42971</x:v>
      </x:c>
      <x:c r="B136" t="str">
        <x:v>박철홍정형외과</x:v>
      </x:c>
      <x:c r="C136" t="str">
        <x:v>박유진</x:v>
      </x:c>
      <x:c r="D136" t="str">
        <x:v>monthly</x:v>
      </x:c>
      <x:c r="E136" t="str">
        <x:v>2026-02</x:v>
      </x:c>
      <x:c r="F136" s="56" t="n">
        <x:v>1</x:v>
      </x:c>
      <x:c r="G136" s="57" t="n">
        <x:v>2026</x:v>
      </x:c>
      <x:c r="H136" s="47" t="n">
        <x:v>46202</x:v>
      </x:c>
      <x:c r="I136" t="str">
        <x:v>11개 월차 만근 소급</x:v>
      </x:c>
      <x:c r="J136" s="58" t="n">
        <x:v>46202</x:v>
      </x:c>
    </x:row>
    <x:row r="137">
      <x:c r="A137" t="str">
        <x:v>0951c488-78e2-4dad-8735-6415b2929e53</x:v>
      </x:c>
      <x:c r="B137" t="str">
        <x:v>박철홍정형외과</x:v>
      </x:c>
      <x:c r="C137" t="str">
        <x:v>박은안</x:v>
      </x:c>
      <x:c r="D137" t="str">
        <x:v>monthly</x:v>
      </x:c>
      <x:c r="E137" t="str">
        <x:v>2025-07</x:v>
      </x:c>
      <x:c r="F137" s="56" t="n">
        <x:v>1</x:v>
      </x:c>
      <x:c r="G137" s="57" t="n">
        <x:v>2026</x:v>
      </x:c>
      <x:c r="H137" s="47" t="n">
        <x:v>45900</x:v>
      </x:c>
      <x:c r="I137" t="str">
        <x:v>1개월차 만근 +1일</x:v>
      </x:c>
      <x:c r="J137" s="58" t="n">
        <x:v>45900</x:v>
      </x:c>
    </x:row>
    <x:row r="138">
      <x:c r="A138" t="str">
        <x:v>0951c488-78e2-4dad-8735-6415b2929e53</x:v>
      </x:c>
      <x:c r="B138" t="str">
        <x:v>박철홍정형외과</x:v>
      </x:c>
      <x:c r="C138" t="str">
        <x:v>박은안</x:v>
      </x:c>
      <x:c r="D138" t="str">
        <x:v>monthly</x:v>
      </x:c>
      <x:c r="E138" t="str">
        <x:v>2025-08</x:v>
      </x:c>
      <x:c r="F138" s="56" t="n">
        <x:v>1</x:v>
      </x:c>
      <x:c r="G138" s="57" t="n">
        <x:v>2026</x:v>
      </x:c>
      <x:c r="H138" s="47" t="n">
        <x:v>45930</x:v>
      </x:c>
      <x:c r="I138" t="str">
        <x:v>2개월차 만근 +1일</x:v>
      </x:c>
      <x:c r="J138" s="58" t="n">
        <x:v>45930</x:v>
      </x:c>
    </x:row>
    <x:row r="139">
      <x:c r="A139" t="str">
        <x:v>0951c488-78e2-4dad-8735-6415b2929e53</x:v>
      </x:c>
      <x:c r="B139" t="str">
        <x:v>박철홍정형외과</x:v>
      </x:c>
      <x:c r="C139" t="str">
        <x:v>박은안</x:v>
      </x:c>
      <x:c r="D139" t="str">
        <x:v>monthly</x:v>
      </x:c>
      <x:c r="E139" t="str">
        <x:v>2025-09</x:v>
      </x:c>
      <x:c r="F139" s="56" t="n">
        <x:v>1</x:v>
      </x:c>
      <x:c r="G139" s="57" t="n">
        <x:v>2026</x:v>
      </x:c>
      <x:c r="H139" s="47" t="n">
        <x:v>45961</x:v>
      </x:c>
      <x:c r="I139" t="str">
        <x:v>3개월차 만근 +1일</x:v>
      </x:c>
      <x:c r="J139" s="58" t="n">
        <x:v>45961</x:v>
      </x:c>
    </x:row>
    <x:row r="140">
      <x:c r="A140" t="str">
        <x:v>0951c488-78e2-4dad-8735-6415b2929e53</x:v>
      </x:c>
      <x:c r="B140" t="str">
        <x:v>박철홍정형외과</x:v>
      </x:c>
      <x:c r="C140" t="str">
        <x:v>박은안</x:v>
      </x:c>
      <x:c r="D140" t="str">
        <x:v>monthly</x:v>
      </x:c>
      <x:c r="E140" t="str">
        <x:v>2025-10</x:v>
      </x:c>
      <x:c r="F140" s="56" t="n">
        <x:v>1</x:v>
      </x:c>
      <x:c r="G140" s="57" t="n">
        <x:v>2026</x:v>
      </x:c>
      <x:c r="H140" s="47" t="n">
        <x:v>45991</x:v>
      </x:c>
      <x:c r="I140" t="str">
        <x:v>4개월차 만근 +1일</x:v>
      </x:c>
      <x:c r="J140" s="58" t="n">
        <x:v>45991</x:v>
      </x:c>
    </x:row>
    <x:row r="141">
      <x:c r="A141" t="str">
        <x:v>0951c488-78e2-4dad-8735-6415b2929e53</x:v>
      </x:c>
      <x:c r="B141" t="str">
        <x:v>박철홍정형외과</x:v>
      </x:c>
      <x:c r="C141" t="str">
        <x:v>박은안</x:v>
      </x:c>
      <x:c r="D141" t="str">
        <x:v>monthly</x:v>
      </x:c>
      <x:c r="E141" t="str">
        <x:v>2025-11</x:v>
      </x:c>
      <x:c r="F141" s="56" t="n">
        <x:v>1</x:v>
      </x:c>
      <x:c r="G141" s="57" t="n">
        <x:v>2026</x:v>
      </x:c>
      <x:c r="H141" s="47" t="n">
        <x:v>46022</x:v>
      </x:c>
      <x:c r="I141" t="str">
        <x:v>5개월차 만근 +1일</x:v>
      </x:c>
      <x:c r="J141" s="58" t="n">
        <x:v>46022</x:v>
      </x:c>
    </x:row>
    <x:row r="142">
      <x:c r="A142" t="str">
        <x:v>0951c488-78e2-4dad-8735-6415b2929e53</x:v>
      </x:c>
      <x:c r="B142" t="str">
        <x:v>박철홍정형외과</x:v>
      </x:c>
      <x:c r="C142" t="str">
        <x:v>박은안</x:v>
      </x:c>
      <x:c r="D142" t="str">
        <x:v>monthly</x:v>
      </x:c>
      <x:c r="E142" t="str">
        <x:v>2025-12</x:v>
      </x:c>
      <x:c r="F142" s="56" t="n">
        <x:v>1</x:v>
      </x:c>
      <x:c r="G142" s="57" t="n">
        <x:v>2026</x:v>
      </x:c>
      <x:c r="H142" s="47" t="n">
        <x:v>46053</x:v>
      </x:c>
      <x:c r="I142" t="str">
        <x:v>6개월차 만근 +1일</x:v>
      </x:c>
      <x:c r="J142" s="58" t="n">
        <x:v>46053</x:v>
      </x:c>
    </x:row>
    <x:row r="143">
      <x:c r="A143" t="str">
        <x:v>0951c488-78e2-4dad-8735-6415b2929e53</x:v>
      </x:c>
      <x:c r="B143" t="str">
        <x:v>박철홍정형외과</x:v>
      </x:c>
      <x:c r="C143" t="str">
        <x:v>박은안</x:v>
      </x:c>
      <x:c r="D143" t="str">
        <x:v>monthly</x:v>
      </x:c>
      <x:c r="E143" t="str">
        <x:v>2026-01</x:v>
      </x:c>
      <x:c r="F143" s="56" t="n">
        <x:v>1</x:v>
      </x:c>
      <x:c r="G143" s="57" t="n">
        <x:v>2026</x:v>
      </x:c>
      <x:c r="H143" s="47" t="n">
        <x:v>46081</x:v>
      </x:c>
      <x:c r="I143" t="str">
        <x:v>7개월차 만근 +1일</x:v>
      </x:c>
      <x:c r="J143" s="58" t="n">
        <x:v>46081</x:v>
      </x:c>
    </x:row>
    <x:row r="144">
      <x:c r="A144" t="str">
        <x:v>0951c488-78e2-4dad-8735-6415b2929e53</x:v>
      </x:c>
      <x:c r="B144" t="str">
        <x:v>박철홍정형외과</x:v>
      </x:c>
      <x:c r="C144" t="str">
        <x:v>박은안</x:v>
      </x:c>
      <x:c r="D144" t="str">
        <x:v>monthly</x:v>
      </x:c>
      <x:c r="E144" t="str">
        <x:v>2026-02</x:v>
      </x:c>
      <x:c r="F144" s="56" t="n">
        <x:v>1</x:v>
      </x:c>
      <x:c r="G144" s="57" t="n">
        <x:v>2026</x:v>
      </x:c>
      <x:c r="H144" s="47" t="n">
        <x:v>46112</x:v>
      </x:c>
      <x:c r="I144" t="str">
        <x:v>8개월차 만근 +1일</x:v>
      </x:c>
      <x:c r="J144" s="58" t="n">
        <x:v>46112</x:v>
      </x:c>
    </x:row>
    <x:row r="145">
      <x:c r="A145" t="str">
        <x:v>0951c488-78e2-4dad-8735-6415b2929e53</x:v>
      </x:c>
      <x:c r="B145" t="str">
        <x:v>박철홍정형외과</x:v>
      </x:c>
      <x:c r="C145" t="str">
        <x:v>박은안</x:v>
      </x:c>
      <x:c r="D145" t="str">
        <x:v>monthly</x:v>
      </x:c>
      <x:c r="E145" t="str">
        <x:v>2026-03</x:v>
      </x:c>
      <x:c r="F145" s="56" t="n">
        <x:v>1</x:v>
      </x:c>
      <x:c r="G145" s="57" t="n">
        <x:v>2026</x:v>
      </x:c>
      <x:c r="H145" s="47" t="n">
        <x:v>46142</x:v>
      </x:c>
      <x:c r="I145" t="str">
        <x:v>9개월차 만근 +1일</x:v>
      </x:c>
      <x:c r="J145" s="58" t="n">
        <x:v>46142</x:v>
      </x:c>
    </x:row>
    <x:row r="146">
      <x:c r="A146" t="str">
        <x:v>0951c488-78e2-4dad-8735-6415b2929e53</x:v>
      </x:c>
      <x:c r="B146" t="str">
        <x:v>박철홍정형외과</x:v>
      </x:c>
      <x:c r="C146" t="str">
        <x:v>박은안</x:v>
      </x:c>
      <x:c r="D146" t="str">
        <x:v>monthly</x:v>
      </x:c>
      <x:c r="E146" t="str">
        <x:v>2026-04</x:v>
      </x:c>
      <x:c r="F146" s="56" t="n">
        <x:v>1</x:v>
      </x:c>
      <x:c r="G146" s="57" t="n">
        <x:v>2026</x:v>
      </x:c>
      <x:c r="H146" s="47" t="n">
        <x:v>46173</x:v>
      </x:c>
      <x:c r="I146" t="str">
        <x:v>10개월차 만근 +1일</x:v>
      </x:c>
      <x:c r="J146" s="58" t="n">
        <x:v>46173</x:v>
      </x:c>
    </x:row>
    <x:row r="147">
      <x:c r="A147" t="str">
        <x:v>0951c488-78e2-4dad-8735-6415b2929e53</x:v>
      </x:c>
      <x:c r="B147" t="str">
        <x:v>박철홍정형외과</x:v>
      </x:c>
      <x:c r="C147" t="str">
        <x:v>박은안</x:v>
      </x:c>
      <x:c r="D147" t="str">
        <x:v>monthly</x:v>
      </x:c>
      <x:c r="E147" t="str">
        <x:v>2026-05</x:v>
      </x:c>
      <x:c r="F147" s="56" t="n">
        <x:v>1</x:v>
      </x:c>
      <x:c r="G147" s="57" t="n">
        <x:v>2026</x:v>
      </x:c>
      <x:c r="H147" s="47" t="n">
        <x:v>46202</x:v>
      </x:c>
      <x:c r="I147" t="str">
        <x:v>11개 월차 만근 소급</x:v>
      </x:c>
      <x:c r="J147" s="58" t="n">
        <x:v>46202</x:v>
      </x:c>
    </x:row>
    <x:row r="148">
      <x:c r="A148" t="str">
        <x:v>89933301-5a6c-40c2-b613-9bef723f93cb</x:v>
      </x:c>
      <x:c r="B148" t="str">
        <x:v>박철홍정형외과</x:v>
      </x:c>
      <x:c r="C148" t="str">
        <x:v>박지영</x:v>
      </x:c>
      <x:c r="D148" t="str">
        <x:v>monthly</x:v>
      </x:c>
      <x:c r="E148" t="str">
        <x:v>2023-10</x:v>
      </x:c>
      <x:c r="F148" s="56" t="n">
        <x:v>1</x:v>
      </x:c>
      <x:c r="G148" s="57" t="n">
        <x:v>2023</x:v>
      </x:c>
      <x:c r="H148" s="47" t="n">
        <x:v>46202</x:v>
      </x:c>
      <x:c r="I148" t="str">
        <x:v>1개 월차 만근 소급</x:v>
      </x:c>
      <x:c r="J148" s="58" t="n">
        <x:v>46202</x:v>
      </x:c>
    </x:row>
    <x:row r="149">
      <x:c r="A149" t="str">
        <x:v>89933301-5a6c-40c2-b613-9bef723f93cb</x:v>
      </x:c>
      <x:c r="B149" t="str">
        <x:v>박철홍정형외과</x:v>
      </x:c>
      <x:c r="C149" t="str">
        <x:v>박지영</x:v>
      </x:c>
      <x:c r="D149" t="str">
        <x:v>monthly</x:v>
      </x:c>
      <x:c r="E149" t="str">
        <x:v>2023-11</x:v>
      </x:c>
      <x:c r="F149" s="56" t="n">
        <x:v>1</x:v>
      </x:c>
      <x:c r="G149" s="57" t="n">
        <x:v>2023</x:v>
      </x:c>
      <x:c r="H149" s="47" t="n">
        <x:v>46202</x:v>
      </x:c>
      <x:c r="I149" t="str">
        <x:v>2개 월차 만근 소급</x:v>
      </x:c>
      <x:c r="J149" s="58" t="n">
        <x:v>46202</x:v>
      </x:c>
    </x:row>
    <x:row r="150">
      <x:c r="A150" t="str">
        <x:v>89933301-5a6c-40c2-b613-9bef723f93cb</x:v>
      </x:c>
      <x:c r="B150" t="str">
        <x:v>박철홍정형외과</x:v>
      </x:c>
      <x:c r="C150" t="str">
        <x:v>박지영</x:v>
      </x:c>
      <x:c r="D150" t="str">
        <x:v>monthly</x:v>
      </x:c>
      <x:c r="E150" t="str">
        <x:v>2023-12</x:v>
      </x:c>
      <x:c r="F150" s="56" t="n">
        <x:v>1</x:v>
      </x:c>
      <x:c r="G150" s="57" t="n">
        <x:v>2023</x:v>
      </x:c>
      <x:c r="H150" s="47" t="n">
        <x:v>46202</x:v>
      </x:c>
      <x:c r="I150" t="str">
        <x:v>3개 월차 만근 소급</x:v>
      </x:c>
      <x:c r="J150" s="58" t="n">
        <x:v>46202</x:v>
      </x:c>
    </x:row>
    <x:row r="151">
      <x:c r="A151" t="str">
        <x:v>89933301-5a6c-40c2-b613-9bef723f93cb</x:v>
      </x:c>
      <x:c r="B151" t="str">
        <x:v>박철홍정형외과</x:v>
      </x:c>
      <x:c r="C151" t="str">
        <x:v>박지영</x:v>
      </x:c>
      <x:c r="D151" t="str">
        <x:v>monthly</x:v>
      </x:c>
      <x:c r="E151" t="str">
        <x:v>2024-01</x:v>
      </x:c>
      <x:c r="F151" s="56" t="n">
        <x:v>1</x:v>
      </x:c>
      <x:c r="G151" s="57" t="n">
        <x:v>2024</x:v>
      </x:c>
      <x:c r="H151" s="47" t="n">
        <x:v>46202</x:v>
      </x:c>
      <x:c r="I151" t="str">
        <x:v>4개 월차 만근 소급</x:v>
      </x:c>
      <x:c r="J151" s="58" t="n">
        <x:v>46202</x:v>
      </x:c>
    </x:row>
    <x:row r="152">
      <x:c r="A152" t="str">
        <x:v>89933301-5a6c-40c2-b613-9bef723f93cb</x:v>
      </x:c>
      <x:c r="B152" t="str">
        <x:v>박철홍정형외과</x:v>
      </x:c>
      <x:c r="C152" t="str">
        <x:v>박지영</x:v>
      </x:c>
      <x:c r="D152" t="str">
        <x:v>monthly</x:v>
      </x:c>
      <x:c r="E152" t="str">
        <x:v>2024-02</x:v>
      </x:c>
      <x:c r="F152" s="56" t="n">
        <x:v>1</x:v>
      </x:c>
      <x:c r="G152" s="57" t="n">
        <x:v>2024</x:v>
      </x:c>
      <x:c r="H152" s="47" t="n">
        <x:v>46202</x:v>
      </x:c>
      <x:c r="I152" t="str">
        <x:v>5개 월차 만근 소급</x:v>
      </x:c>
      <x:c r="J152" s="58" t="n">
        <x:v>46202</x:v>
      </x:c>
    </x:row>
    <x:row r="153">
      <x:c r="A153" t="str">
        <x:v>89933301-5a6c-40c2-b613-9bef723f93cb</x:v>
      </x:c>
      <x:c r="B153" t="str">
        <x:v>박철홍정형외과</x:v>
      </x:c>
      <x:c r="C153" t="str">
        <x:v>박지영</x:v>
      </x:c>
      <x:c r="D153" t="str">
        <x:v>monthly</x:v>
      </x:c>
      <x:c r="E153" t="str">
        <x:v>2024-03</x:v>
      </x:c>
      <x:c r="F153" s="56" t="n">
        <x:v>1</x:v>
      </x:c>
      <x:c r="G153" s="57" t="n">
        <x:v>2024</x:v>
      </x:c>
      <x:c r="H153" s="47" t="n">
        <x:v>46202</x:v>
      </x:c>
      <x:c r="I153" t="str">
        <x:v>6개 월차 만근 소급</x:v>
      </x:c>
      <x:c r="J153" s="58" t="n">
        <x:v>46202</x:v>
      </x:c>
    </x:row>
    <x:row r="154">
      <x:c r="A154" t="str">
        <x:v>89933301-5a6c-40c2-b613-9bef723f93cb</x:v>
      </x:c>
      <x:c r="B154" t="str">
        <x:v>박철홍정형외과</x:v>
      </x:c>
      <x:c r="C154" t="str">
        <x:v>박지영</x:v>
      </x:c>
      <x:c r="D154" t="str">
        <x:v>monthly</x:v>
      </x:c>
      <x:c r="E154" t="str">
        <x:v>2024-04</x:v>
      </x:c>
      <x:c r="F154" s="56" t="n">
        <x:v>1</x:v>
      </x:c>
      <x:c r="G154" s="57" t="n">
        <x:v>2024</x:v>
      </x:c>
      <x:c r="H154" s="47" t="n">
        <x:v>46202</x:v>
      </x:c>
      <x:c r="I154" t="str">
        <x:v>7개 월차 만근 소급</x:v>
      </x:c>
      <x:c r="J154" s="58" t="n">
        <x:v>46202</x:v>
      </x:c>
    </x:row>
    <x:row r="155">
      <x:c r="A155" t="str">
        <x:v>89933301-5a6c-40c2-b613-9bef723f93cb</x:v>
      </x:c>
      <x:c r="B155" t="str">
        <x:v>박철홍정형외과</x:v>
      </x:c>
      <x:c r="C155" t="str">
        <x:v>박지영</x:v>
      </x:c>
      <x:c r="D155" t="str">
        <x:v>monthly</x:v>
      </x:c>
      <x:c r="E155" t="str">
        <x:v>2024-05</x:v>
      </x:c>
      <x:c r="F155" s="56" t="n">
        <x:v>1</x:v>
      </x:c>
      <x:c r="G155" s="57" t="n">
        <x:v>2024</x:v>
      </x:c>
      <x:c r="H155" s="47" t="n">
        <x:v>46202</x:v>
      </x:c>
      <x:c r="I155" t="str">
        <x:v>8개 월차 만근 소급</x:v>
      </x:c>
      <x:c r="J155" s="58" t="n">
        <x:v>46202</x:v>
      </x:c>
    </x:row>
    <x:row r="156">
      <x:c r="A156" t="str">
        <x:v>89933301-5a6c-40c2-b613-9bef723f93cb</x:v>
      </x:c>
      <x:c r="B156" t="str">
        <x:v>박철홍정형외과</x:v>
      </x:c>
      <x:c r="C156" t="str">
        <x:v>박지영</x:v>
      </x:c>
      <x:c r="D156" t="str">
        <x:v>monthly</x:v>
      </x:c>
      <x:c r="E156" t="str">
        <x:v>2024-06</x:v>
      </x:c>
      <x:c r="F156" s="56" t="n">
        <x:v>1</x:v>
      </x:c>
      <x:c r="G156" s="57" t="n">
        <x:v>2024</x:v>
      </x:c>
      <x:c r="H156" s="47" t="n">
        <x:v>46202</x:v>
      </x:c>
      <x:c r="I156" t="str">
        <x:v>9개 월차 만근 소급</x:v>
      </x:c>
      <x:c r="J156" s="58" t="n">
        <x:v>46202</x:v>
      </x:c>
    </x:row>
    <x:row r="157">
      <x:c r="A157" t="str">
        <x:v>89933301-5a6c-40c2-b613-9bef723f93cb</x:v>
      </x:c>
      <x:c r="B157" t="str">
        <x:v>박철홍정형외과</x:v>
      </x:c>
      <x:c r="C157" t="str">
        <x:v>박지영</x:v>
      </x:c>
      <x:c r="D157" t="str">
        <x:v>monthly</x:v>
      </x:c>
      <x:c r="E157" t="str">
        <x:v>2024-07</x:v>
      </x:c>
      <x:c r="F157" s="56" t="n">
        <x:v>1</x:v>
      </x:c>
      <x:c r="G157" s="57" t="n">
        <x:v>2024</x:v>
      </x:c>
      <x:c r="H157" s="47" t="n">
        <x:v>46202</x:v>
      </x:c>
      <x:c r="I157" t="str">
        <x:v>10개 월차 만근 소급</x:v>
      </x:c>
      <x:c r="J157" s="58" t="n">
        <x:v>46202</x:v>
      </x:c>
    </x:row>
    <x:row r="158">
      <x:c r="A158" t="str">
        <x:v>89933301-5a6c-40c2-b613-9bef723f93cb</x:v>
      </x:c>
      <x:c r="B158" t="str">
        <x:v>박철홍정형외과</x:v>
      </x:c>
      <x:c r="C158" t="str">
        <x:v>박지영</x:v>
      </x:c>
      <x:c r="D158" t="str">
        <x:v>monthly</x:v>
      </x:c>
      <x:c r="E158" t="str">
        <x:v>2024-08</x:v>
      </x:c>
      <x:c r="F158" s="56" t="n">
        <x:v>1</x:v>
      </x:c>
      <x:c r="G158" s="57" t="n">
        <x:v>2024</x:v>
      </x:c>
      <x:c r="H158" s="47" t="n">
        <x:v>46202</x:v>
      </x:c>
      <x:c r="I158" t="str">
        <x:v>11개 월차 만근 소급</x:v>
      </x:c>
      <x:c r="J158" s="58" t="n">
        <x:v>46202</x:v>
      </x:c>
    </x:row>
    <x:row r="159">
      <x:c r="A159" t="str">
        <x:v>89933301-5a6c-40c2-b613-9bef723f93cb</x:v>
      </x:c>
      <x:c r="B159" t="str">
        <x:v>박철홍정형외과</x:v>
      </x:c>
      <x:c r="C159" t="str">
        <x:v>박지영</x:v>
      </x:c>
      <x:c r="D159" t="str">
        <x:v>annual</x:v>
      </x:c>
      <x:c r="E159" t="str">
        <x:v>annual:1</x:v>
      </x:c>
      <x:c r="F159" s="56" t="n">
        <x:v>15</x:v>
      </x:c>
      <x:c r="G159" s="57" t="n">
        <x:v>2026</x:v>
      </x:c>
      <x:c r="H159" s="47" t="n">
        <x:v>45585</x:v>
      </x:c>
      <x:c r="I159" t="str">
        <x:v>만 1년차 연차 15일 자동부여</x:v>
      </x:c>
      <x:c r="J159" s="58" t="n">
        <x:v>45585</x:v>
      </x:c>
    </x:row>
    <x:row r="160">
      <x:c r="A160" t="str">
        <x:v>89933301-5a6c-40c2-b613-9bef723f93cb</x:v>
      </x:c>
      <x:c r="B160" t="str">
        <x:v>박철홍정형외과</x:v>
      </x:c>
      <x:c r="C160" t="str">
        <x:v>박지영</x:v>
      </x:c>
      <x:c r="D160" t="str">
        <x:v>annual</x:v>
      </x:c>
      <x:c r="E160" t="str">
        <x:v>annual:2</x:v>
      </x:c>
      <x:c r="F160" s="56" t="n">
        <x:v>15</x:v>
      </x:c>
      <x:c r="G160" s="57" t="n">
        <x:v>2026</x:v>
      </x:c>
      <x:c r="H160" s="47" t="n">
        <x:v>45950</x:v>
      </x:c>
      <x:c r="I160" t="str">
        <x:v>만 2년차 연차 15일 자동부여</x:v>
      </x:c>
      <x:c r="J160" s="58" t="n">
        <x:v>45950</x:v>
      </x:c>
    </x:row>
    <x:row r="161">
      <x:c r="A161" t="str">
        <x:v>21cefd98-f172-4fc3-8de8-ba74998686cc</x:v>
      </x:c>
      <x:c r="B161" t="str">
        <x:v>박철홍정형외과</x:v>
      </x:c>
      <x:c r="C161" t="str">
        <x:v>박철홍</x:v>
      </x:c>
      <x:c r="D161" t="str">
        <x:v>monthly</x:v>
      </x:c>
      <x:c r="E161" t="str">
        <x:v>2023-08</x:v>
      </x:c>
      <x:c r="F161" s="56" t="n">
        <x:v>1</x:v>
      </x:c>
      <x:c r="G161" s="57" t="n">
        <x:v>2023</x:v>
      </x:c>
      <x:c r="H161" s="47" t="n">
        <x:v>46202</x:v>
      </x:c>
      <x:c r="I161" t="str">
        <x:v>1개 월차 만근 소급</x:v>
      </x:c>
      <x:c r="J161" s="58" t="n">
        <x:v>46202</x:v>
      </x:c>
    </x:row>
    <x:row r="162">
      <x:c r="A162" t="str">
        <x:v>21cefd98-f172-4fc3-8de8-ba74998686cc</x:v>
      </x:c>
      <x:c r="B162" t="str">
        <x:v>박철홍정형외과</x:v>
      </x:c>
      <x:c r="C162" t="str">
        <x:v>박철홍</x:v>
      </x:c>
      <x:c r="D162" t="str">
        <x:v>monthly</x:v>
      </x:c>
      <x:c r="E162" t="str">
        <x:v>2023-09</x:v>
      </x:c>
      <x:c r="F162" s="56" t="n">
        <x:v>1</x:v>
      </x:c>
      <x:c r="G162" s="57" t="n">
        <x:v>2023</x:v>
      </x:c>
      <x:c r="H162" s="47" t="n">
        <x:v>46202</x:v>
      </x:c>
      <x:c r="I162" t="str">
        <x:v>2개 월차 만근 소급</x:v>
      </x:c>
      <x:c r="J162" s="58" t="n">
        <x:v>46202</x:v>
      </x:c>
    </x:row>
    <x:row r="163">
      <x:c r="A163" t="str">
        <x:v>21cefd98-f172-4fc3-8de8-ba74998686cc</x:v>
      </x:c>
      <x:c r="B163" t="str">
        <x:v>박철홍정형외과</x:v>
      </x:c>
      <x:c r="C163" t="str">
        <x:v>박철홍</x:v>
      </x:c>
      <x:c r="D163" t="str">
        <x:v>monthly</x:v>
      </x:c>
      <x:c r="E163" t="str">
        <x:v>2023-10</x:v>
      </x:c>
      <x:c r="F163" s="56" t="n">
        <x:v>1</x:v>
      </x:c>
      <x:c r="G163" s="57" t="n">
        <x:v>2023</x:v>
      </x:c>
      <x:c r="H163" s="47" t="n">
        <x:v>46202</x:v>
      </x:c>
      <x:c r="I163" t="str">
        <x:v>3개 월차 만근 소급</x:v>
      </x:c>
      <x:c r="J163" s="58" t="n">
        <x:v>46202</x:v>
      </x:c>
    </x:row>
    <x:row r="164">
      <x:c r="A164" t="str">
        <x:v>21cefd98-f172-4fc3-8de8-ba74998686cc</x:v>
      </x:c>
      <x:c r="B164" t="str">
        <x:v>박철홍정형외과</x:v>
      </x:c>
      <x:c r="C164" t="str">
        <x:v>박철홍</x:v>
      </x:c>
      <x:c r="D164" t="str">
        <x:v>monthly</x:v>
      </x:c>
      <x:c r="E164" t="str">
        <x:v>2023-11</x:v>
      </x:c>
      <x:c r="F164" s="56" t="n">
        <x:v>1</x:v>
      </x:c>
      <x:c r="G164" s="57" t="n">
        <x:v>2023</x:v>
      </x:c>
      <x:c r="H164" s="47" t="n">
        <x:v>46202</x:v>
      </x:c>
      <x:c r="I164" t="str">
        <x:v>4개 월차 만근 소급</x:v>
      </x:c>
      <x:c r="J164" s="58" t="n">
        <x:v>46202</x:v>
      </x:c>
    </x:row>
    <x:row r="165">
      <x:c r="A165" t="str">
        <x:v>21cefd98-f172-4fc3-8de8-ba74998686cc</x:v>
      </x:c>
      <x:c r="B165" t="str">
        <x:v>박철홍정형외과</x:v>
      </x:c>
      <x:c r="C165" t="str">
        <x:v>박철홍</x:v>
      </x:c>
      <x:c r="D165" t="str">
        <x:v>monthly</x:v>
      </x:c>
      <x:c r="E165" t="str">
        <x:v>2023-12</x:v>
      </x:c>
      <x:c r="F165" s="56" t="n">
        <x:v>1</x:v>
      </x:c>
      <x:c r="G165" s="57" t="n">
        <x:v>2023</x:v>
      </x:c>
      <x:c r="H165" s="47" t="n">
        <x:v>46202</x:v>
      </x:c>
      <x:c r="I165" t="str">
        <x:v>5개 월차 만근 소급</x:v>
      </x:c>
      <x:c r="J165" s="58" t="n">
        <x:v>46202</x:v>
      </x:c>
    </x:row>
    <x:row r="166">
      <x:c r="A166" t="str">
        <x:v>21cefd98-f172-4fc3-8de8-ba74998686cc</x:v>
      </x:c>
      <x:c r="B166" t="str">
        <x:v>박철홍정형외과</x:v>
      </x:c>
      <x:c r="C166" t="str">
        <x:v>박철홍</x:v>
      </x:c>
      <x:c r="D166" t="str">
        <x:v>monthly</x:v>
      </x:c>
      <x:c r="E166" t="str">
        <x:v>2024-01</x:v>
      </x:c>
      <x:c r="F166" s="56" t="n">
        <x:v>1</x:v>
      </x:c>
      <x:c r="G166" s="57" t="n">
        <x:v>2024</x:v>
      </x:c>
      <x:c r="H166" s="47" t="n">
        <x:v>46202</x:v>
      </x:c>
      <x:c r="I166" t="str">
        <x:v>6개 월차 만근 소급</x:v>
      </x:c>
      <x:c r="J166" s="58" t="n">
        <x:v>46202</x:v>
      </x:c>
    </x:row>
    <x:row r="167">
      <x:c r="A167" t="str">
        <x:v>21cefd98-f172-4fc3-8de8-ba74998686cc</x:v>
      </x:c>
      <x:c r="B167" t="str">
        <x:v>박철홍정형외과</x:v>
      </x:c>
      <x:c r="C167" t="str">
        <x:v>박철홍</x:v>
      </x:c>
      <x:c r="D167" t="str">
        <x:v>monthly</x:v>
      </x:c>
      <x:c r="E167" t="str">
        <x:v>2024-02</x:v>
      </x:c>
      <x:c r="F167" s="56" t="n">
        <x:v>1</x:v>
      </x:c>
      <x:c r="G167" s="57" t="n">
        <x:v>2024</x:v>
      </x:c>
      <x:c r="H167" s="47" t="n">
        <x:v>46202</x:v>
      </x:c>
      <x:c r="I167" t="str">
        <x:v>7개 월차 만근 소급</x:v>
      </x:c>
      <x:c r="J167" s="58" t="n">
        <x:v>46202</x:v>
      </x:c>
    </x:row>
    <x:row r="168">
      <x:c r="A168" t="str">
        <x:v>21cefd98-f172-4fc3-8de8-ba74998686cc</x:v>
      </x:c>
      <x:c r="B168" t="str">
        <x:v>박철홍정형외과</x:v>
      </x:c>
      <x:c r="C168" t="str">
        <x:v>박철홍</x:v>
      </x:c>
      <x:c r="D168" t="str">
        <x:v>monthly</x:v>
      </x:c>
      <x:c r="E168" t="str">
        <x:v>2024-03</x:v>
      </x:c>
      <x:c r="F168" s="56" t="n">
        <x:v>1</x:v>
      </x:c>
      <x:c r="G168" s="57" t="n">
        <x:v>2024</x:v>
      </x:c>
      <x:c r="H168" s="47" t="n">
        <x:v>46202</x:v>
      </x:c>
      <x:c r="I168" t="str">
        <x:v>8개 월차 만근 소급</x:v>
      </x:c>
      <x:c r="J168" s="58" t="n">
        <x:v>46202</x:v>
      </x:c>
    </x:row>
    <x:row r="169">
      <x:c r="A169" t="str">
        <x:v>21cefd98-f172-4fc3-8de8-ba74998686cc</x:v>
      </x:c>
      <x:c r="B169" t="str">
        <x:v>박철홍정형외과</x:v>
      </x:c>
      <x:c r="C169" t="str">
        <x:v>박철홍</x:v>
      </x:c>
      <x:c r="D169" t="str">
        <x:v>monthly</x:v>
      </x:c>
      <x:c r="E169" t="str">
        <x:v>2024-04</x:v>
      </x:c>
      <x:c r="F169" s="56" t="n">
        <x:v>1</x:v>
      </x:c>
      <x:c r="G169" s="57" t="n">
        <x:v>2024</x:v>
      </x:c>
      <x:c r="H169" s="47" t="n">
        <x:v>46202</x:v>
      </x:c>
      <x:c r="I169" t="str">
        <x:v>9개 월차 만근 소급</x:v>
      </x:c>
      <x:c r="J169" s="58" t="n">
        <x:v>46202</x:v>
      </x:c>
    </x:row>
    <x:row r="170">
      <x:c r="A170" t="str">
        <x:v>21cefd98-f172-4fc3-8de8-ba74998686cc</x:v>
      </x:c>
      <x:c r="B170" t="str">
        <x:v>박철홍정형외과</x:v>
      </x:c>
      <x:c r="C170" t="str">
        <x:v>박철홍</x:v>
      </x:c>
      <x:c r="D170" t="str">
        <x:v>monthly</x:v>
      </x:c>
      <x:c r="E170" t="str">
        <x:v>2024-05</x:v>
      </x:c>
      <x:c r="F170" s="56" t="n">
        <x:v>1</x:v>
      </x:c>
      <x:c r="G170" s="57" t="n">
        <x:v>2024</x:v>
      </x:c>
      <x:c r="H170" s="47" t="n">
        <x:v>46202</x:v>
      </x:c>
      <x:c r="I170" t="str">
        <x:v>10개 월차 만근 소급</x:v>
      </x:c>
      <x:c r="J170" s="58" t="n">
        <x:v>46202</x:v>
      </x:c>
    </x:row>
    <x:row r="171">
      <x:c r="A171" t="str">
        <x:v>21cefd98-f172-4fc3-8de8-ba74998686cc</x:v>
      </x:c>
      <x:c r="B171" t="str">
        <x:v>박철홍정형외과</x:v>
      </x:c>
      <x:c r="C171" t="str">
        <x:v>박철홍</x:v>
      </x:c>
      <x:c r="D171" t="str">
        <x:v>monthly</x:v>
      </x:c>
      <x:c r="E171" t="str">
        <x:v>2024-06</x:v>
      </x:c>
      <x:c r="F171" s="56" t="n">
        <x:v>1</x:v>
      </x:c>
      <x:c r="G171" s="57" t="n">
        <x:v>2024</x:v>
      </x:c>
      <x:c r="H171" s="47" t="n">
        <x:v>46202</x:v>
      </x:c>
      <x:c r="I171" t="str">
        <x:v>11개 월차 만근 소급</x:v>
      </x:c>
      <x:c r="J171" s="58" t="n">
        <x:v>46202</x:v>
      </x:c>
    </x:row>
    <x:row r="172">
      <x:c r="A172" t="str">
        <x:v>21cefd98-f172-4fc3-8de8-ba74998686cc</x:v>
      </x:c>
      <x:c r="B172" t="str">
        <x:v>박철홍정형외과</x:v>
      </x:c>
      <x:c r="C172" t="str">
        <x:v>박철홍</x:v>
      </x:c>
      <x:c r="D172" t="str">
        <x:v>annual</x:v>
      </x:c>
      <x:c r="E172" t="str">
        <x:v>annual:1</x:v>
      </x:c>
      <x:c r="F172" s="56" t="n">
        <x:v>15</x:v>
      </x:c>
      <x:c r="G172" s="57" t="n">
        <x:v>2026</x:v>
      </x:c>
      <x:c r="H172" s="47" t="n">
        <x:v>45505</x:v>
      </x:c>
      <x:c r="I172" t="str">
        <x:v>만 1년차 연차 15일 자동부여</x:v>
      </x:c>
      <x:c r="J172" s="58" t="n">
        <x:v>45505</x:v>
      </x:c>
    </x:row>
    <x:row r="173">
      <x:c r="A173" t="str">
        <x:v>21cefd98-f172-4fc3-8de8-ba74998686cc</x:v>
      </x:c>
      <x:c r="B173" t="str">
        <x:v>박철홍정형외과</x:v>
      </x:c>
      <x:c r="C173" t="str">
        <x:v>박철홍</x:v>
      </x:c>
      <x:c r="D173" t="str">
        <x:v>annual</x:v>
      </x:c>
      <x:c r="E173" t="str">
        <x:v>annual:2</x:v>
      </x:c>
      <x:c r="F173" s="56" t="n">
        <x:v>15</x:v>
      </x:c>
      <x:c r="G173" s="57" t="n">
        <x:v>2026</x:v>
      </x:c>
      <x:c r="H173" s="47" t="n">
        <x:v>45870</x:v>
      </x:c>
      <x:c r="I173" t="str">
        <x:v>만 2년차 연차 15일 자동부여</x:v>
      </x:c>
      <x:c r="J173" s="58" t="n">
        <x:v>45870</x:v>
      </x:c>
    </x:row>
    <x:row r="174">
      <x:c r="A174" t="str">
        <x:v>f21833c4-76a3-4a27-b26f-589053dd673b</x:v>
      </x:c>
      <x:c r="B174" t="str">
        <x:v>박철홍정형외과</x:v>
      </x:c>
      <x:c r="C174" t="str">
        <x:v>박하연</x:v>
      </x:c>
      <x:c r="D174" t="str">
        <x:v>monthly</x:v>
      </x:c>
      <x:c r="E174" t="str">
        <x:v>2024-10</x:v>
      </x:c>
      <x:c r="F174" s="56" t="n">
        <x:v>1</x:v>
      </x:c>
      <x:c r="G174" s="57" t="n">
        <x:v>2024</x:v>
      </x:c>
      <x:c r="H174" s="47" t="n">
        <x:v>46202</x:v>
      </x:c>
      <x:c r="I174" t="str">
        <x:v>1개 월차 만근 소급</x:v>
      </x:c>
      <x:c r="J174" s="58" t="n">
        <x:v>46202</x:v>
      </x:c>
    </x:row>
    <x:row r="175">
      <x:c r="A175" t="str">
        <x:v>f21833c4-76a3-4a27-b26f-589053dd673b</x:v>
      </x:c>
      <x:c r="B175" t="str">
        <x:v>박철홍정형외과</x:v>
      </x:c>
      <x:c r="C175" t="str">
        <x:v>박하연</x:v>
      </x:c>
      <x:c r="D175" t="str">
        <x:v>monthly</x:v>
      </x:c>
      <x:c r="E175" t="str">
        <x:v>2024-11</x:v>
      </x:c>
      <x:c r="F175" s="56" t="n">
        <x:v>1</x:v>
      </x:c>
      <x:c r="G175" s="57" t="n">
        <x:v>2024</x:v>
      </x:c>
      <x:c r="H175" s="47" t="n">
        <x:v>46202</x:v>
      </x:c>
      <x:c r="I175" t="str">
        <x:v>2개 월차 만근 소급</x:v>
      </x:c>
      <x:c r="J175" s="58" t="n">
        <x:v>46202</x:v>
      </x:c>
    </x:row>
    <x:row r="176">
      <x:c r="A176" t="str">
        <x:v>f21833c4-76a3-4a27-b26f-589053dd673b</x:v>
      </x:c>
      <x:c r="B176" t="str">
        <x:v>박철홍정형외과</x:v>
      </x:c>
      <x:c r="C176" t="str">
        <x:v>박하연</x:v>
      </x:c>
      <x:c r="D176" t="str">
        <x:v>monthly</x:v>
      </x:c>
      <x:c r="E176" t="str">
        <x:v>2024-12</x:v>
      </x:c>
      <x:c r="F176" s="56" t="n">
        <x:v>1</x:v>
      </x:c>
      <x:c r="G176" s="57" t="n">
        <x:v>2024</x:v>
      </x:c>
      <x:c r="H176" s="47" t="n">
        <x:v>46202</x:v>
      </x:c>
      <x:c r="I176" t="str">
        <x:v>3개 월차 만근 소급</x:v>
      </x:c>
      <x:c r="J176" s="58" t="n">
        <x:v>46202</x:v>
      </x:c>
    </x:row>
    <x:row r="177">
      <x:c r="A177" t="str">
        <x:v>f21833c4-76a3-4a27-b26f-589053dd673b</x:v>
      </x:c>
      <x:c r="B177" t="str">
        <x:v>박철홍정형외과</x:v>
      </x:c>
      <x:c r="C177" t="str">
        <x:v>박하연</x:v>
      </x:c>
      <x:c r="D177" t="str">
        <x:v>monthly</x:v>
      </x:c>
      <x:c r="E177" t="str">
        <x:v>2025-01</x:v>
      </x:c>
      <x:c r="F177" s="56" t="n">
        <x:v>1</x:v>
      </x:c>
      <x:c r="G177" s="57" t="n">
        <x:v>2025</x:v>
      </x:c>
      <x:c r="H177" s="47" t="n">
        <x:v>46202</x:v>
      </x:c>
      <x:c r="I177" t="str">
        <x:v>4개 월차 만근 소급</x:v>
      </x:c>
      <x:c r="J177" s="58" t="n">
        <x:v>46202</x:v>
      </x:c>
    </x:row>
    <x:row r="178">
      <x:c r="A178" t="str">
        <x:v>f21833c4-76a3-4a27-b26f-589053dd673b</x:v>
      </x:c>
      <x:c r="B178" t="str">
        <x:v>박철홍정형외과</x:v>
      </x:c>
      <x:c r="C178" t="str">
        <x:v>박하연</x:v>
      </x:c>
      <x:c r="D178" t="str">
        <x:v>monthly</x:v>
      </x:c>
      <x:c r="E178" t="str">
        <x:v>2025-02</x:v>
      </x:c>
      <x:c r="F178" s="56" t="n">
        <x:v>1</x:v>
      </x:c>
      <x:c r="G178" s="57" t="n">
        <x:v>2025</x:v>
      </x:c>
      <x:c r="H178" s="47" t="n">
        <x:v>46202</x:v>
      </x:c>
      <x:c r="I178" t="str">
        <x:v>5개 월차 만근 소급</x:v>
      </x:c>
      <x:c r="J178" s="58" t="n">
        <x:v>46202</x:v>
      </x:c>
    </x:row>
    <x:row r="179">
      <x:c r="A179" t="str">
        <x:v>f21833c4-76a3-4a27-b26f-589053dd673b</x:v>
      </x:c>
      <x:c r="B179" t="str">
        <x:v>박철홍정형외과</x:v>
      </x:c>
      <x:c r="C179" t="str">
        <x:v>박하연</x:v>
      </x:c>
      <x:c r="D179" t="str">
        <x:v>monthly</x:v>
      </x:c>
      <x:c r="E179" t="str">
        <x:v>2025-03</x:v>
      </x:c>
      <x:c r="F179" s="56" t="n">
        <x:v>1</x:v>
      </x:c>
      <x:c r="G179" s="57" t="n">
        <x:v>2025</x:v>
      </x:c>
      <x:c r="H179" s="47" t="n">
        <x:v>46202</x:v>
      </x:c>
      <x:c r="I179" t="str">
        <x:v>6개 월차 만근 소급</x:v>
      </x:c>
      <x:c r="J179" s="58" t="n">
        <x:v>46202</x:v>
      </x:c>
    </x:row>
    <x:row r="180">
      <x:c r="A180" t="str">
        <x:v>f21833c4-76a3-4a27-b26f-589053dd673b</x:v>
      </x:c>
      <x:c r="B180" t="str">
        <x:v>박철홍정형외과</x:v>
      </x:c>
      <x:c r="C180" t="str">
        <x:v>박하연</x:v>
      </x:c>
      <x:c r="D180" t="str">
        <x:v>monthly</x:v>
      </x:c>
      <x:c r="E180" t="str">
        <x:v>2025-04</x:v>
      </x:c>
      <x:c r="F180" s="56" t="n">
        <x:v>1</x:v>
      </x:c>
      <x:c r="G180" s="57" t="n">
        <x:v>2025</x:v>
      </x:c>
      <x:c r="H180" s="47" t="n">
        <x:v>46202</x:v>
      </x:c>
      <x:c r="I180" t="str">
        <x:v>7개 월차 만근 소급</x:v>
      </x:c>
      <x:c r="J180" s="58" t="n">
        <x:v>46202</x:v>
      </x:c>
    </x:row>
    <x:row r="181">
      <x:c r="A181" t="str">
        <x:v>f21833c4-76a3-4a27-b26f-589053dd673b</x:v>
      </x:c>
      <x:c r="B181" t="str">
        <x:v>박철홍정형외과</x:v>
      </x:c>
      <x:c r="C181" t="str">
        <x:v>박하연</x:v>
      </x:c>
      <x:c r="D181" t="str">
        <x:v>monthly</x:v>
      </x:c>
      <x:c r="E181" t="str">
        <x:v>2025-05</x:v>
      </x:c>
      <x:c r="F181" s="56" t="n">
        <x:v>1</x:v>
      </x:c>
      <x:c r="G181" s="57" t="n">
        <x:v>2025</x:v>
      </x:c>
      <x:c r="H181" s="47" t="n">
        <x:v>46202</x:v>
      </x:c>
      <x:c r="I181" t="str">
        <x:v>8개 월차 만근 소급</x:v>
      </x:c>
      <x:c r="J181" s="58" t="n">
        <x:v>46202</x:v>
      </x:c>
    </x:row>
    <x:row r="182">
      <x:c r="A182" t="str">
        <x:v>f21833c4-76a3-4a27-b26f-589053dd673b</x:v>
      </x:c>
      <x:c r="B182" t="str">
        <x:v>박철홍정형외과</x:v>
      </x:c>
      <x:c r="C182" t="str">
        <x:v>박하연</x:v>
      </x:c>
      <x:c r="D182" t="str">
        <x:v>monthly</x:v>
      </x:c>
      <x:c r="E182" t="str">
        <x:v>2025-06</x:v>
      </x:c>
      <x:c r="F182" s="56" t="n">
        <x:v>1</x:v>
      </x:c>
      <x:c r="G182" s="57" t="n">
        <x:v>2025</x:v>
      </x:c>
      <x:c r="H182" s="47" t="n">
        <x:v>46202</x:v>
      </x:c>
      <x:c r="I182" t="str">
        <x:v>9개 월차 만근 소급</x:v>
      </x:c>
      <x:c r="J182" s="58" t="n">
        <x:v>46202</x:v>
      </x:c>
    </x:row>
    <x:row r="183">
      <x:c r="A183" t="str">
        <x:v>f21833c4-76a3-4a27-b26f-589053dd673b</x:v>
      </x:c>
      <x:c r="B183" t="str">
        <x:v>박철홍정형외과</x:v>
      </x:c>
      <x:c r="C183" t="str">
        <x:v>박하연</x:v>
      </x:c>
      <x:c r="D183" t="str">
        <x:v>monthly</x:v>
      </x:c>
      <x:c r="E183" t="str">
        <x:v>2025-07</x:v>
      </x:c>
      <x:c r="F183" s="56" t="n">
        <x:v>1</x:v>
      </x:c>
      <x:c r="G183" s="57" t="n">
        <x:v>2025</x:v>
      </x:c>
      <x:c r="H183" s="47" t="n">
        <x:v>46202</x:v>
      </x:c>
      <x:c r="I183" t="str">
        <x:v>10개 월차 만근 소급</x:v>
      </x:c>
      <x:c r="J183" s="58" t="n">
        <x:v>46202</x:v>
      </x:c>
    </x:row>
    <x:row r="184">
      <x:c r="A184" t="str">
        <x:v>f21833c4-76a3-4a27-b26f-589053dd673b</x:v>
      </x:c>
      <x:c r="B184" t="str">
        <x:v>박철홍정형외과</x:v>
      </x:c>
      <x:c r="C184" t="str">
        <x:v>박하연</x:v>
      </x:c>
      <x:c r="D184" t="str">
        <x:v>monthly</x:v>
      </x:c>
      <x:c r="E184" t="str">
        <x:v>2025-08</x:v>
      </x:c>
      <x:c r="F184" s="56" t="n">
        <x:v>1</x:v>
      </x:c>
      <x:c r="G184" s="57" t="n">
        <x:v>2025</x:v>
      </x:c>
      <x:c r="H184" s="47" t="n">
        <x:v>46202</x:v>
      </x:c>
      <x:c r="I184" t="str">
        <x:v>11개 월차 만근 소급</x:v>
      </x:c>
      <x:c r="J184" s="58" t="n">
        <x:v>46202</x:v>
      </x:c>
    </x:row>
    <x:row r="185">
      <x:c r="A185" t="str">
        <x:v>f21833c4-76a3-4a27-b26f-589053dd673b</x:v>
      </x:c>
      <x:c r="B185" t="str">
        <x:v>박철홍정형외과</x:v>
      </x:c>
      <x:c r="C185" t="str">
        <x:v>박하연</x:v>
      </x:c>
      <x:c r="D185" t="str">
        <x:v>annual</x:v>
      </x:c>
      <x:c r="E185" t="str">
        <x:v>annual:1</x:v>
      </x:c>
      <x:c r="F185" s="56" t="n">
        <x:v>15</x:v>
      </x:c>
      <x:c r="G185" s="57" t="n">
        <x:v>2026</x:v>
      </x:c>
      <x:c r="H185" s="47" t="n">
        <x:v>45931</x:v>
      </x:c>
      <x:c r="I185" t="str">
        <x:v>만 1년차 연차 15일 자동부여</x:v>
      </x:c>
      <x:c r="J185" s="58" t="n">
        <x:v>45931</x:v>
      </x:c>
    </x:row>
    <x:row r="186">
      <x:c r="A186" t="str">
        <x:v>9d2818ef-5201-4674-8023-a504b8ad70d5</x:v>
      </x:c>
      <x:c r="B186" t="str">
        <x:v>박철홍정형외과</x:v>
      </x:c>
      <x:c r="C186" t="str">
        <x:v>방영란</x:v>
      </x:c>
      <x:c r="D186" t="str">
        <x:v>monthly</x:v>
      </x:c>
      <x:c r="E186" t="str">
        <x:v>2024-09</x:v>
      </x:c>
      <x:c r="F186" s="56" t="n">
        <x:v>1</x:v>
      </x:c>
      <x:c r="G186" s="57" t="n">
        <x:v>2024</x:v>
      </x:c>
      <x:c r="H186" s="47" t="n">
        <x:v>46202</x:v>
      </x:c>
      <x:c r="I186" t="str">
        <x:v>1개 월차 만근 소급</x:v>
      </x:c>
      <x:c r="J186" s="58" t="n">
        <x:v>46202</x:v>
      </x:c>
    </x:row>
    <x:row r="187">
      <x:c r="A187" t="str">
        <x:v>9d2818ef-5201-4674-8023-a504b8ad70d5</x:v>
      </x:c>
      <x:c r="B187" t="str">
        <x:v>박철홍정형외과</x:v>
      </x:c>
      <x:c r="C187" t="str">
        <x:v>방영란</x:v>
      </x:c>
      <x:c r="D187" t="str">
        <x:v>monthly</x:v>
      </x:c>
      <x:c r="E187" t="str">
        <x:v>2024-10</x:v>
      </x:c>
      <x:c r="F187" s="56" t="n">
        <x:v>1</x:v>
      </x:c>
      <x:c r="G187" s="57" t="n">
        <x:v>2024</x:v>
      </x:c>
      <x:c r="H187" s="47" t="n">
        <x:v>46202</x:v>
      </x:c>
      <x:c r="I187" t="str">
        <x:v>2개 월차 만근 소급</x:v>
      </x:c>
      <x:c r="J187" s="58" t="n">
        <x:v>46202</x:v>
      </x:c>
    </x:row>
    <x:row r="188">
      <x:c r="A188" t="str">
        <x:v>9d2818ef-5201-4674-8023-a504b8ad70d5</x:v>
      </x:c>
      <x:c r="B188" t="str">
        <x:v>박철홍정형외과</x:v>
      </x:c>
      <x:c r="C188" t="str">
        <x:v>방영란</x:v>
      </x:c>
      <x:c r="D188" t="str">
        <x:v>monthly</x:v>
      </x:c>
      <x:c r="E188" t="str">
        <x:v>2024-11</x:v>
      </x:c>
      <x:c r="F188" s="56" t="n">
        <x:v>1</x:v>
      </x:c>
      <x:c r="G188" s="57" t="n">
        <x:v>2024</x:v>
      </x:c>
      <x:c r="H188" s="47" t="n">
        <x:v>46202</x:v>
      </x:c>
      <x:c r="I188" t="str">
        <x:v>3개 월차 만근 소급</x:v>
      </x:c>
      <x:c r="J188" s="58" t="n">
        <x:v>46202</x:v>
      </x:c>
    </x:row>
    <x:row r="189">
      <x:c r="A189" t="str">
        <x:v>9d2818ef-5201-4674-8023-a504b8ad70d5</x:v>
      </x:c>
      <x:c r="B189" t="str">
        <x:v>박철홍정형외과</x:v>
      </x:c>
      <x:c r="C189" t="str">
        <x:v>방영란</x:v>
      </x:c>
      <x:c r="D189" t="str">
        <x:v>monthly</x:v>
      </x:c>
      <x:c r="E189" t="str">
        <x:v>2024-12</x:v>
      </x:c>
      <x:c r="F189" s="56" t="n">
        <x:v>1</x:v>
      </x:c>
      <x:c r="G189" s="57" t="n">
        <x:v>2024</x:v>
      </x:c>
      <x:c r="H189" s="47" t="n">
        <x:v>46202</x:v>
      </x:c>
      <x:c r="I189" t="str">
        <x:v>4개 월차 만근 소급</x:v>
      </x:c>
      <x:c r="J189" s="58" t="n">
        <x:v>46202</x:v>
      </x:c>
    </x:row>
    <x:row r="190">
      <x:c r="A190" t="str">
        <x:v>9d2818ef-5201-4674-8023-a504b8ad70d5</x:v>
      </x:c>
      <x:c r="B190" t="str">
        <x:v>박철홍정형외과</x:v>
      </x:c>
      <x:c r="C190" t="str">
        <x:v>방영란</x:v>
      </x:c>
      <x:c r="D190" t="str">
        <x:v>monthly</x:v>
      </x:c>
      <x:c r="E190" t="str">
        <x:v>2025-01</x:v>
      </x:c>
      <x:c r="F190" s="56" t="n">
        <x:v>1</x:v>
      </x:c>
      <x:c r="G190" s="57" t="n">
        <x:v>2025</x:v>
      </x:c>
      <x:c r="H190" s="47" t="n">
        <x:v>46202</x:v>
      </x:c>
      <x:c r="I190" t="str">
        <x:v>5개 월차 만근 소급</x:v>
      </x:c>
      <x:c r="J190" s="58" t="n">
        <x:v>46202</x:v>
      </x:c>
    </x:row>
    <x:row r="191">
      <x:c r="A191" t="str">
        <x:v>9d2818ef-5201-4674-8023-a504b8ad70d5</x:v>
      </x:c>
      <x:c r="B191" t="str">
        <x:v>박철홍정형외과</x:v>
      </x:c>
      <x:c r="C191" t="str">
        <x:v>방영란</x:v>
      </x:c>
      <x:c r="D191" t="str">
        <x:v>monthly</x:v>
      </x:c>
      <x:c r="E191" t="str">
        <x:v>2025-02</x:v>
      </x:c>
      <x:c r="F191" s="56" t="n">
        <x:v>1</x:v>
      </x:c>
      <x:c r="G191" s="57" t="n">
        <x:v>2025</x:v>
      </x:c>
      <x:c r="H191" s="47" t="n">
        <x:v>46202</x:v>
      </x:c>
      <x:c r="I191" t="str">
        <x:v>6개 월차 만근 소급</x:v>
      </x:c>
      <x:c r="J191" s="58" t="n">
        <x:v>46202</x:v>
      </x:c>
    </x:row>
    <x:row r="192">
      <x:c r="A192" t="str">
        <x:v>9d2818ef-5201-4674-8023-a504b8ad70d5</x:v>
      </x:c>
      <x:c r="B192" t="str">
        <x:v>박철홍정형외과</x:v>
      </x:c>
      <x:c r="C192" t="str">
        <x:v>방영란</x:v>
      </x:c>
      <x:c r="D192" t="str">
        <x:v>monthly</x:v>
      </x:c>
      <x:c r="E192" t="str">
        <x:v>2025-03</x:v>
      </x:c>
      <x:c r="F192" s="56" t="n">
        <x:v>1</x:v>
      </x:c>
      <x:c r="G192" s="57" t="n">
        <x:v>2025</x:v>
      </x:c>
      <x:c r="H192" s="47" t="n">
        <x:v>46202</x:v>
      </x:c>
      <x:c r="I192" t="str">
        <x:v>7개 월차 만근 소급</x:v>
      </x:c>
      <x:c r="J192" s="58" t="n">
        <x:v>46202</x:v>
      </x:c>
    </x:row>
    <x:row r="193">
      <x:c r="A193" t="str">
        <x:v>9d2818ef-5201-4674-8023-a504b8ad70d5</x:v>
      </x:c>
      <x:c r="B193" t="str">
        <x:v>박철홍정형외과</x:v>
      </x:c>
      <x:c r="C193" t="str">
        <x:v>방영란</x:v>
      </x:c>
      <x:c r="D193" t="str">
        <x:v>monthly</x:v>
      </x:c>
      <x:c r="E193" t="str">
        <x:v>2025-04</x:v>
      </x:c>
      <x:c r="F193" s="56" t="n">
        <x:v>1</x:v>
      </x:c>
      <x:c r="G193" s="57" t="n">
        <x:v>2025</x:v>
      </x:c>
      <x:c r="H193" s="47" t="n">
        <x:v>46202</x:v>
      </x:c>
      <x:c r="I193" t="str">
        <x:v>8개 월차 만근 소급</x:v>
      </x:c>
      <x:c r="J193" s="58" t="n">
        <x:v>46202</x:v>
      </x:c>
    </x:row>
    <x:row r="194">
      <x:c r="A194" t="str">
        <x:v>9d2818ef-5201-4674-8023-a504b8ad70d5</x:v>
      </x:c>
      <x:c r="B194" t="str">
        <x:v>박철홍정형외과</x:v>
      </x:c>
      <x:c r="C194" t="str">
        <x:v>방영란</x:v>
      </x:c>
      <x:c r="D194" t="str">
        <x:v>monthly</x:v>
      </x:c>
      <x:c r="E194" t="str">
        <x:v>2025-05</x:v>
      </x:c>
      <x:c r="F194" s="56" t="n">
        <x:v>1</x:v>
      </x:c>
      <x:c r="G194" s="57" t="n">
        <x:v>2025</x:v>
      </x:c>
      <x:c r="H194" s="47" t="n">
        <x:v>46202</x:v>
      </x:c>
      <x:c r="I194" t="str">
        <x:v>9개 월차 만근 소급</x:v>
      </x:c>
      <x:c r="J194" s="58" t="n">
        <x:v>46202</x:v>
      </x:c>
    </x:row>
    <x:row r="195">
      <x:c r="A195" t="str">
        <x:v>9d2818ef-5201-4674-8023-a504b8ad70d5</x:v>
      </x:c>
      <x:c r="B195" t="str">
        <x:v>박철홍정형외과</x:v>
      </x:c>
      <x:c r="C195" t="str">
        <x:v>방영란</x:v>
      </x:c>
      <x:c r="D195" t="str">
        <x:v>monthly</x:v>
      </x:c>
      <x:c r="E195" t="str">
        <x:v>2025-06</x:v>
      </x:c>
      <x:c r="F195" s="56" t="n">
        <x:v>1</x:v>
      </x:c>
      <x:c r="G195" s="57" t="n">
        <x:v>2025</x:v>
      </x:c>
      <x:c r="H195" s="47" t="n">
        <x:v>46202</x:v>
      </x:c>
      <x:c r="I195" t="str">
        <x:v>10개 월차 만근 소급</x:v>
      </x:c>
      <x:c r="J195" s="58" t="n">
        <x:v>46202</x:v>
      </x:c>
    </x:row>
    <x:row r="196">
      <x:c r="A196" t="str">
        <x:v>9d2818ef-5201-4674-8023-a504b8ad70d5</x:v>
      </x:c>
      <x:c r="B196" t="str">
        <x:v>박철홍정형외과</x:v>
      </x:c>
      <x:c r="C196" t="str">
        <x:v>방영란</x:v>
      </x:c>
      <x:c r="D196" t="str">
        <x:v>monthly</x:v>
      </x:c>
      <x:c r="E196" t="str">
        <x:v>2025-07</x:v>
      </x:c>
      <x:c r="F196" s="56" t="n">
        <x:v>1</x:v>
      </x:c>
      <x:c r="G196" s="57" t="n">
        <x:v>2025</x:v>
      </x:c>
      <x:c r="H196" s="47" t="n">
        <x:v>46202</x:v>
      </x:c>
      <x:c r="I196" t="str">
        <x:v>11개 월차 만근 소급</x:v>
      </x:c>
      <x:c r="J196" s="58" t="n">
        <x:v>46202</x:v>
      </x:c>
    </x:row>
    <x:row r="197">
      <x:c r="A197" t="str">
        <x:v>9d2818ef-5201-4674-8023-a504b8ad70d5</x:v>
      </x:c>
      <x:c r="B197" t="str">
        <x:v>박철홍정형외과</x:v>
      </x:c>
      <x:c r="C197" t="str">
        <x:v>방영란</x:v>
      </x:c>
      <x:c r="D197" t="str">
        <x:v>annual</x:v>
      </x:c>
      <x:c r="E197" t="str">
        <x:v>annual:1</x:v>
      </x:c>
      <x:c r="F197" s="56" t="n">
        <x:v>15</x:v>
      </x:c>
      <x:c r="G197" s="57" t="n">
        <x:v>2026</x:v>
      </x:c>
      <x:c r="H197" s="47" t="n">
        <x:v>45901</x:v>
      </x:c>
      <x:c r="I197" t="str">
        <x:v>만 1년차 연차 15일 자동부여</x:v>
      </x:c>
      <x:c r="J197" s="58" t="n">
        <x:v>45901</x:v>
      </x:c>
    </x:row>
    <x:row r="198">
      <x:c r="A198" t="str">
        <x:v>296e4d3b-aca4-45e1-896c-538ec1b486a9</x:v>
      </x:c>
      <x:c r="B198" t="str">
        <x:v>박철홍정형외과</x:v>
      </x:c>
      <x:c r="C198" t="str">
        <x:v>병동팀1</x:v>
      </x:c>
      <x:c r="D198" t="str">
        <x:v>monthly</x:v>
      </x:c>
      <x:c r="E198" t="str">
        <x:v>2026-03</x:v>
      </x:c>
      <x:c r="F198" s="56" t="n">
        <x:v>1</x:v>
      </x:c>
      <x:c r="G198" s="57" t="n">
        <x:v>2026</x:v>
      </x:c>
      <x:c r="H198" s="47" t="n">
        <x:v>46142</x:v>
      </x:c>
      <x:c r="I198" t="str">
        <x:v>1개월차 만근 +1일</x:v>
      </x:c>
      <x:c r="J198" s="58" t="n">
        <x:v>46142</x:v>
      </x:c>
    </x:row>
    <x:row r="199">
      <x:c r="A199" t="str">
        <x:v>296e4d3b-aca4-45e1-896c-538ec1b486a9</x:v>
      </x:c>
      <x:c r="B199" t="str">
        <x:v>박철홍정형외과</x:v>
      </x:c>
      <x:c r="C199" t="str">
        <x:v>병동팀1</x:v>
      </x:c>
      <x:c r="D199" t="str">
        <x:v>monthly</x:v>
      </x:c>
      <x:c r="E199" t="str">
        <x:v>2026-04</x:v>
      </x:c>
      <x:c r="F199" s="56" t="n">
        <x:v>1</x:v>
      </x:c>
      <x:c r="G199" s="57" t="n">
        <x:v>2026</x:v>
      </x:c>
      <x:c r="H199" s="47" t="n">
        <x:v>46172</x:v>
      </x:c>
      <x:c r="I199" t="str">
        <x:v>2개월차 만근 +1일</x:v>
      </x:c>
      <x:c r="J199" s="58" t="n">
        <x:v>46172</x:v>
      </x:c>
    </x:row>
    <x:row r="200">
      <x:c r="A200" t="str">
        <x:v>296e4d3b-aca4-45e1-896c-538ec1b486a9</x:v>
      </x:c>
      <x:c r="B200" t="str">
        <x:v>박철홍정형외과</x:v>
      </x:c>
      <x:c r="C200" t="str">
        <x:v>병동팀1</x:v>
      </x:c>
      <x:c r="D200" t="str">
        <x:v>monthly</x:v>
      </x:c>
      <x:c r="E200" t="str">
        <x:v>2026-05</x:v>
      </x:c>
      <x:c r="F200" s="56" t="n">
        <x:v>1</x:v>
      </x:c>
      <x:c r="G200" s="57" t="n">
        <x:v>2026</x:v>
      </x:c>
      <x:c r="H200" s="47" t="n">
        <x:v>46202</x:v>
      </x:c>
      <x:c r="I200" t="str">
        <x:v>3개 월차 만근 소급</x:v>
      </x:c>
      <x:c r="J200" s="58" t="n">
        <x:v>46202</x:v>
      </x:c>
    </x:row>
    <x:row r="201">
      <x:c r="A201" t="str">
        <x:v>0c565a99-1a11-4b29-b349-131b3b8a38c5</x:v>
      </x:c>
      <x:c r="B201" t="str">
        <x:v>박철홍정형외과</x:v>
      </x:c>
      <x:c r="C201" t="str">
        <x:v>송소현</x:v>
      </x:c>
      <x:c r="D201" t="str">
        <x:v>monthly</x:v>
      </x:c>
      <x:c r="E201" t="str">
        <x:v>2025-01</x:v>
      </x:c>
      <x:c r="F201" s="56" t="n">
        <x:v>1</x:v>
      </x:c>
      <x:c r="G201" s="57" t="n">
        <x:v>2025</x:v>
      </x:c>
      <x:c r="H201" s="47" t="n">
        <x:v>46202</x:v>
      </x:c>
      <x:c r="I201" t="str">
        <x:v>1개 월차 만근 소급</x:v>
      </x:c>
      <x:c r="J201" s="58" t="n">
        <x:v>46202</x:v>
      </x:c>
    </x:row>
    <x:row r="202">
      <x:c r="A202" t="str">
        <x:v>0c565a99-1a11-4b29-b349-131b3b8a38c5</x:v>
      </x:c>
      <x:c r="B202" t="str">
        <x:v>박철홍정형외과</x:v>
      </x:c>
      <x:c r="C202" t="str">
        <x:v>송소현</x:v>
      </x:c>
      <x:c r="D202" t="str">
        <x:v>monthly</x:v>
      </x:c>
      <x:c r="E202" t="str">
        <x:v>2025-02</x:v>
      </x:c>
      <x:c r="F202" s="56" t="n">
        <x:v>1</x:v>
      </x:c>
      <x:c r="G202" s="57" t="n">
        <x:v>2025</x:v>
      </x:c>
      <x:c r="H202" s="47" t="n">
        <x:v>46202</x:v>
      </x:c>
      <x:c r="I202" t="str">
        <x:v>2개 월차 만근 소급</x:v>
      </x:c>
      <x:c r="J202" s="58" t="n">
        <x:v>46202</x:v>
      </x:c>
    </x:row>
    <x:row r="203">
      <x:c r="A203" t="str">
        <x:v>0c565a99-1a11-4b29-b349-131b3b8a38c5</x:v>
      </x:c>
      <x:c r="B203" t="str">
        <x:v>박철홍정형외과</x:v>
      </x:c>
      <x:c r="C203" t="str">
        <x:v>송소현</x:v>
      </x:c>
      <x:c r="D203" t="str">
        <x:v>monthly</x:v>
      </x:c>
      <x:c r="E203" t="str">
        <x:v>2025-03</x:v>
      </x:c>
      <x:c r="F203" s="56" t="n">
        <x:v>1</x:v>
      </x:c>
      <x:c r="G203" s="57" t="n">
        <x:v>2025</x:v>
      </x:c>
      <x:c r="H203" s="47" t="n">
        <x:v>46202</x:v>
      </x:c>
      <x:c r="I203" t="str">
        <x:v>3개 월차 만근 소급</x:v>
      </x:c>
      <x:c r="J203" s="58" t="n">
        <x:v>46202</x:v>
      </x:c>
    </x:row>
    <x:row r="204">
      <x:c r="A204" t="str">
        <x:v>0c565a99-1a11-4b29-b349-131b3b8a38c5</x:v>
      </x:c>
      <x:c r="B204" t="str">
        <x:v>박철홍정형외과</x:v>
      </x:c>
      <x:c r="C204" t="str">
        <x:v>송소현</x:v>
      </x:c>
      <x:c r="D204" t="str">
        <x:v>monthly</x:v>
      </x:c>
      <x:c r="E204" t="str">
        <x:v>2025-04</x:v>
      </x:c>
      <x:c r="F204" s="56" t="n">
        <x:v>1</x:v>
      </x:c>
      <x:c r="G204" s="57" t="n">
        <x:v>2025</x:v>
      </x:c>
      <x:c r="H204" s="47" t="n">
        <x:v>46202</x:v>
      </x:c>
      <x:c r="I204" t="str">
        <x:v>4개 월차 만근 소급</x:v>
      </x:c>
      <x:c r="J204" s="58" t="n">
        <x:v>46202</x:v>
      </x:c>
    </x:row>
    <x:row r="205">
      <x:c r="A205" t="str">
        <x:v>0c565a99-1a11-4b29-b349-131b3b8a38c5</x:v>
      </x:c>
      <x:c r="B205" t="str">
        <x:v>박철홍정형외과</x:v>
      </x:c>
      <x:c r="C205" t="str">
        <x:v>송소현</x:v>
      </x:c>
      <x:c r="D205" t="str">
        <x:v>monthly</x:v>
      </x:c>
      <x:c r="E205" t="str">
        <x:v>2025-05</x:v>
      </x:c>
      <x:c r="F205" s="56" t="n">
        <x:v>1</x:v>
      </x:c>
      <x:c r="G205" s="57" t="n">
        <x:v>2025</x:v>
      </x:c>
      <x:c r="H205" s="47" t="n">
        <x:v>46202</x:v>
      </x:c>
      <x:c r="I205" t="str">
        <x:v>5개 월차 만근 소급</x:v>
      </x:c>
      <x:c r="J205" s="58" t="n">
        <x:v>46202</x:v>
      </x:c>
    </x:row>
    <x:row r="206">
      <x:c r="A206" t="str">
        <x:v>0c565a99-1a11-4b29-b349-131b3b8a38c5</x:v>
      </x:c>
      <x:c r="B206" t="str">
        <x:v>박철홍정형외과</x:v>
      </x:c>
      <x:c r="C206" t="str">
        <x:v>송소현</x:v>
      </x:c>
      <x:c r="D206" t="str">
        <x:v>monthly</x:v>
      </x:c>
      <x:c r="E206" t="str">
        <x:v>2025-06</x:v>
      </x:c>
      <x:c r="F206" s="56" t="n">
        <x:v>1</x:v>
      </x:c>
      <x:c r="G206" s="57" t="n">
        <x:v>2025</x:v>
      </x:c>
      <x:c r="H206" s="47" t="n">
        <x:v>46202</x:v>
      </x:c>
      <x:c r="I206" t="str">
        <x:v>6개 월차 만근 소급</x:v>
      </x:c>
      <x:c r="J206" s="58" t="n">
        <x:v>46202</x:v>
      </x:c>
    </x:row>
    <x:row r="207">
      <x:c r="A207" t="str">
        <x:v>0c565a99-1a11-4b29-b349-131b3b8a38c5</x:v>
      </x:c>
      <x:c r="B207" t="str">
        <x:v>박철홍정형외과</x:v>
      </x:c>
      <x:c r="C207" t="str">
        <x:v>송소현</x:v>
      </x:c>
      <x:c r="D207" t="str">
        <x:v>monthly</x:v>
      </x:c>
      <x:c r="E207" t="str">
        <x:v>2025-07</x:v>
      </x:c>
      <x:c r="F207" s="56" t="n">
        <x:v>1</x:v>
      </x:c>
      <x:c r="G207" s="57" t="n">
        <x:v>2025</x:v>
      </x:c>
      <x:c r="H207" s="47" t="n">
        <x:v>46202</x:v>
      </x:c>
      <x:c r="I207" t="str">
        <x:v>7개 월차 만근 소급</x:v>
      </x:c>
      <x:c r="J207" s="58" t="n">
        <x:v>46202</x:v>
      </x:c>
    </x:row>
    <x:row r="208">
      <x:c r="A208" t="str">
        <x:v>0c565a99-1a11-4b29-b349-131b3b8a38c5</x:v>
      </x:c>
      <x:c r="B208" t="str">
        <x:v>박철홍정형외과</x:v>
      </x:c>
      <x:c r="C208" t="str">
        <x:v>송소현</x:v>
      </x:c>
      <x:c r="D208" t="str">
        <x:v>monthly</x:v>
      </x:c>
      <x:c r="E208" t="str">
        <x:v>2025-08</x:v>
      </x:c>
      <x:c r="F208" s="56" t="n">
        <x:v>1</x:v>
      </x:c>
      <x:c r="G208" s="57" t="n">
        <x:v>2025</x:v>
      </x:c>
      <x:c r="H208" s="47" t="n">
        <x:v>46202</x:v>
      </x:c>
      <x:c r="I208" t="str">
        <x:v>8개 월차 만근 소급</x:v>
      </x:c>
      <x:c r="J208" s="58" t="n">
        <x:v>46202</x:v>
      </x:c>
    </x:row>
    <x:row r="209">
      <x:c r="A209" t="str">
        <x:v>0c565a99-1a11-4b29-b349-131b3b8a38c5</x:v>
      </x:c>
      <x:c r="B209" t="str">
        <x:v>박철홍정형외과</x:v>
      </x:c>
      <x:c r="C209" t="str">
        <x:v>송소현</x:v>
      </x:c>
      <x:c r="D209" t="str">
        <x:v>monthly</x:v>
      </x:c>
      <x:c r="E209" t="str">
        <x:v>2025-09</x:v>
      </x:c>
      <x:c r="F209" s="56" t="n">
        <x:v>1</x:v>
      </x:c>
      <x:c r="G209" s="57" t="n">
        <x:v>2025</x:v>
      </x:c>
      <x:c r="H209" s="47" t="n">
        <x:v>46202</x:v>
      </x:c>
      <x:c r="I209" t="str">
        <x:v>9개 월차 만근 소급</x:v>
      </x:c>
      <x:c r="J209" s="58" t="n">
        <x:v>46202</x:v>
      </x:c>
    </x:row>
    <x:row r="210">
      <x:c r="A210" t="str">
        <x:v>0c565a99-1a11-4b29-b349-131b3b8a38c5</x:v>
      </x:c>
      <x:c r="B210" t="str">
        <x:v>박철홍정형외과</x:v>
      </x:c>
      <x:c r="C210" t="str">
        <x:v>송소현</x:v>
      </x:c>
      <x:c r="D210" t="str">
        <x:v>monthly</x:v>
      </x:c>
      <x:c r="E210" t="str">
        <x:v>2025-10</x:v>
      </x:c>
      <x:c r="F210" s="56" t="n">
        <x:v>1</x:v>
      </x:c>
      <x:c r="G210" s="57" t="n">
        <x:v>2025</x:v>
      </x:c>
      <x:c r="H210" s="47" t="n">
        <x:v>46202</x:v>
      </x:c>
      <x:c r="I210" t="str">
        <x:v>10개 월차 만근 소급</x:v>
      </x:c>
      <x:c r="J210" s="58" t="n">
        <x:v>46202</x:v>
      </x:c>
    </x:row>
    <x:row r="211">
      <x:c r="A211" t="str">
        <x:v>0c565a99-1a11-4b29-b349-131b3b8a38c5</x:v>
      </x:c>
      <x:c r="B211" t="str">
        <x:v>박철홍정형외과</x:v>
      </x:c>
      <x:c r="C211" t="str">
        <x:v>송소현</x:v>
      </x:c>
      <x:c r="D211" t="str">
        <x:v>monthly</x:v>
      </x:c>
      <x:c r="E211" t="str">
        <x:v>2025-11</x:v>
      </x:c>
      <x:c r="F211" s="56" t="n">
        <x:v>1</x:v>
      </x:c>
      <x:c r="G211" s="57" t="n">
        <x:v>2025</x:v>
      </x:c>
      <x:c r="H211" s="47" t="n">
        <x:v>46202</x:v>
      </x:c>
      <x:c r="I211" t="str">
        <x:v>11개 월차 만근 소급</x:v>
      </x:c>
      <x:c r="J211" s="58" t="n">
        <x:v>46202</x:v>
      </x:c>
    </x:row>
    <x:row r="212">
      <x:c r="A212" t="str">
        <x:v>0c565a99-1a11-4b29-b349-131b3b8a38c5</x:v>
      </x:c>
      <x:c r="B212" t="str">
        <x:v>박철홍정형외과</x:v>
      </x:c>
      <x:c r="C212" t="str">
        <x:v>송소현</x:v>
      </x:c>
      <x:c r="D212" t="str">
        <x:v>annual</x:v>
      </x:c>
      <x:c r="E212" t="str">
        <x:v>annual:1</x:v>
      </x:c>
      <x:c r="F212" s="56" t="n">
        <x:v>15</x:v>
      </x:c>
      <x:c r="G212" s="57" t="n">
        <x:v>2026</x:v>
      </x:c>
      <x:c r="H212" s="47" t="n">
        <x:v>46025</x:v>
      </x:c>
      <x:c r="I212" t="str">
        <x:v>만 1년차 연차 15일 자동부여</x:v>
      </x:c>
      <x:c r="J212" s="58" t="n">
        <x:v>46025</x:v>
      </x:c>
    </x:row>
    <x:row r="213">
      <x:c r="A213" t="str">
        <x:v>589143b3-f117-4631-ad55-08c7ad6f2a05</x:v>
      </x:c>
      <x:c r="B213" t="str">
        <x:v>박철홍정형외과</x:v>
      </x:c>
      <x:c r="C213" t="str">
        <x:v>수술팀1</x:v>
      </x:c>
      <x:c r="D213" t="str">
        <x:v>monthly</x:v>
      </x:c>
      <x:c r="E213" t="str">
        <x:v>2026-03</x:v>
      </x:c>
      <x:c r="F213" s="56" t="n">
        <x:v>1</x:v>
      </x:c>
      <x:c r="G213" s="57" t="n">
        <x:v>2026</x:v>
      </x:c>
      <x:c r="H213" s="47" t="n">
        <x:v>46142</x:v>
      </x:c>
      <x:c r="I213" t="str">
        <x:v>1개월차 만근 +1일</x:v>
      </x:c>
      <x:c r="J213" s="58" t="n">
        <x:v>46142</x:v>
      </x:c>
    </x:row>
    <x:row r="214">
      <x:c r="A214" t="str">
        <x:v>589143b3-f117-4631-ad55-08c7ad6f2a05</x:v>
      </x:c>
      <x:c r="B214" t="str">
        <x:v>박철홍정형외과</x:v>
      </x:c>
      <x:c r="C214" t="str">
        <x:v>수술팀1</x:v>
      </x:c>
      <x:c r="D214" t="str">
        <x:v>monthly</x:v>
      </x:c>
      <x:c r="E214" t="str">
        <x:v>2026-04</x:v>
      </x:c>
      <x:c r="F214" s="56" t="n">
        <x:v>1</x:v>
      </x:c>
      <x:c r="G214" s="57" t="n">
        <x:v>2026</x:v>
      </x:c>
      <x:c r="H214" s="47" t="n">
        <x:v>46172</x:v>
      </x:c>
      <x:c r="I214" t="str">
        <x:v>2개월차 만근 +1일</x:v>
      </x:c>
      <x:c r="J214" s="58" t="n">
        <x:v>46172</x:v>
      </x:c>
    </x:row>
    <x:row r="215">
      <x:c r="A215" t="str">
        <x:v>589143b3-f117-4631-ad55-08c7ad6f2a05</x:v>
      </x:c>
      <x:c r="B215" t="str">
        <x:v>박철홍정형외과</x:v>
      </x:c>
      <x:c r="C215" t="str">
        <x:v>수술팀1</x:v>
      </x:c>
      <x:c r="D215" t="str">
        <x:v>monthly</x:v>
      </x:c>
      <x:c r="E215" t="str">
        <x:v>2026-05</x:v>
      </x:c>
      <x:c r="F215" s="56" t="n">
        <x:v>1</x:v>
      </x:c>
      <x:c r="G215" s="57" t="n">
        <x:v>2026</x:v>
      </x:c>
      <x:c r="H215" s="47" t="n">
        <x:v>46202</x:v>
      </x:c>
      <x:c r="I215" t="str">
        <x:v>3개 월차 만근 소급</x:v>
      </x:c>
      <x:c r="J215" s="58" t="n">
        <x:v>46202</x:v>
      </x:c>
    </x:row>
    <x:row r="216">
      <x:c r="A216" t="str">
        <x:v>62858091-2724-49b8-b1f9-524201ad493f</x:v>
      </x:c>
      <x:c r="B216" t="str">
        <x:v>박철홍정형외과</x:v>
      </x:c>
      <x:c r="C216" t="str">
        <x:v>오민경</x:v>
      </x:c>
      <x:c r="D216" t="str">
        <x:v>monthly</x:v>
      </x:c>
      <x:c r="E216" t="str">
        <x:v>2026-06</x:v>
      </x:c>
      <x:c r="F216" s="56" t="n">
        <x:v>1</x:v>
      </x:c>
      <x:c r="G216" s="57" t="n">
        <x:v>2026</x:v>
      </x:c>
      <x:c r="H216" s="47" t="n">
        <x:v>46218</x:v>
      </x:c>
      <x:c r="I216" t="str">
        <x:v>1개월차 만근 +1일(백필)</x:v>
      </x:c>
      <x:c r="J216" s="58" t="n">
        <x:v>46218</x:v>
      </x:c>
    </x:row>
    <x:row r="217">
      <x:c r="A217" t="str">
        <x:v>2e3fbf95-2d7c-4452-8f4a-3903c1ecfac6</x:v>
      </x:c>
      <x:c r="B217" t="str">
        <x:v>박철홍정형외과</x:v>
      </x:c>
      <x:c r="C217" t="str">
        <x:v>외래팀1</x:v>
      </x:c>
      <x:c r="D217" t="str">
        <x:v>monthly</x:v>
      </x:c>
      <x:c r="E217" t="str">
        <x:v>2026-03</x:v>
      </x:c>
      <x:c r="F217" s="56" t="n">
        <x:v>1</x:v>
      </x:c>
      <x:c r="G217" s="57" t="n">
        <x:v>2026</x:v>
      </x:c>
      <x:c r="H217" s="47" t="n">
        <x:v>46142</x:v>
      </x:c>
      <x:c r="I217" t="str">
        <x:v>1개월차 만근 +1일</x:v>
      </x:c>
      <x:c r="J217" s="58" t="n">
        <x:v>46142</x:v>
      </x:c>
    </x:row>
    <x:row r="218">
      <x:c r="A218" t="str">
        <x:v>2e3fbf95-2d7c-4452-8f4a-3903c1ecfac6</x:v>
      </x:c>
      <x:c r="B218" t="str">
        <x:v>박철홍정형외과</x:v>
      </x:c>
      <x:c r="C218" t="str">
        <x:v>외래팀1</x:v>
      </x:c>
      <x:c r="D218" t="str">
        <x:v>monthly</x:v>
      </x:c>
      <x:c r="E218" t="str">
        <x:v>2026-04</x:v>
      </x:c>
      <x:c r="F218" s="56" t="n">
        <x:v>1</x:v>
      </x:c>
      <x:c r="G218" s="57" t="n">
        <x:v>2026</x:v>
      </x:c>
      <x:c r="H218" s="47" t="n">
        <x:v>46172</x:v>
      </x:c>
      <x:c r="I218" t="str">
        <x:v>2개월차 만근 +1일</x:v>
      </x:c>
      <x:c r="J218" s="58" t="n">
        <x:v>46172</x:v>
      </x:c>
    </x:row>
    <x:row r="219">
      <x:c r="A219" t="str">
        <x:v>2e3fbf95-2d7c-4452-8f4a-3903c1ecfac6</x:v>
      </x:c>
      <x:c r="B219" t="str">
        <x:v>박철홍정형외과</x:v>
      </x:c>
      <x:c r="C219" t="str">
        <x:v>외래팀1</x:v>
      </x:c>
      <x:c r="D219" t="str">
        <x:v>monthly</x:v>
      </x:c>
      <x:c r="E219" t="str">
        <x:v>2026-05</x:v>
      </x:c>
      <x:c r="F219" s="56" t="n">
        <x:v>1</x:v>
      </x:c>
      <x:c r="G219" s="57" t="n">
        <x:v>2026</x:v>
      </x:c>
      <x:c r="H219" s="47" t="n">
        <x:v>46202</x:v>
      </x:c>
      <x:c r="I219" t="str">
        <x:v>3개 월차 만근 소급</x:v>
      </x:c>
      <x:c r="J219" s="58" t="n">
        <x:v>46202</x:v>
      </x:c>
    </x:row>
    <x:row r="220">
      <x:c r="A220" t="str">
        <x:v>53dec6e9-e53e-4b71-87a5-750a82c87b02</x:v>
      </x:c>
      <x:c r="B220" t="str">
        <x:v>박철홍정형외과</x:v>
      </x:c>
      <x:c r="C220" t="str">
        <x:v>이가연</x:v>
      </x:c>
      <x:c r="D220" t="str">
        <x:v>monthly</x:v>
      </x:c>
      <x:c r="E220" t="str">
        <x:v>2023-09</x:v>
      </x:c>
      <x:c r="F220" s="56" t="n">
        <x:v>1</x:v>
      </x:c>
      <x:c r="G220" s="57" t="n">
        <x:v>2023</x:v>
      </x:c>
      <x:c r="H220" s="47" t="n">
        <x:v>46202</x:v>
      </x:c>
      <x:c r="I220" t="str">
        <x:v>1개 월차 만근 소급</x:v>
      </x:c>
      <x:c r="J220" s="58" t="n">
        <x:v>46202</x:v>
      </x:c>
    </x:row>
    <x:row r="221">
      <x:c r="A221" t="str">
        <x:v>53dec6e9-e53e-4b71-87a5-750a82c87b02</x:v>
      </x:c>
      <x:c r="B221" t="str">
        <x:v>박철홍정형외과</x:v>
      </x:c>
      <x:c r="C221" t="str">
        <x:v>이가연</x:v>
      </x:c>
      <x:c r="D221" t="str">
        <x:v>monthly</x:v>
      </x:c>
      <x:c r="E221" t="str">
        <x:v>2023-10</x:v>
      </x:c>
      <x:c r="F221" s="56" t="n">
        <x:v>1</x:v>
      </x:c>
      <x:c r="G221" s="57" t="n">
        <x:v>2023</x:v>
      </x:c>
      <x:c r="H221" s="47" t="n">
        <x:v>46202</x:v>
      </x:c>
      <x:c r="I221" t="str">
        <x:v>2개 월차 만근 소급</x:v>
      </x:c>
      <x:c r="J221" s="58" t="n">
        <x:v>46202</x:v>
      </x:c>
    </x:row>
    <x:row r="222">
      <x:c r="A222" t="str">
        <x:v>53dec6e9-e53e-4b71-87a5-750a82c87b02</x:v>
      </x:c>
      <x:c r="B222" t="str">
        <x:v>박철홍정형외과</x:v>
      </x:c>
      <x:c r="C222" t="str">
        <x:v>이가연</x:v>
      </x:c>
      <x:c r="D222" t="str">
        <x:v>monthly</x:v>
      </x:c>
      <x:c r="E222" t="str">
        <x:v>2023-11</x:v>
      </x:c>
      <x:c r="F222" s="56" t="n">
        <x:v>1</x:v>
      </x:c>
      <x:c r="G222" s="57" t="n">
        <x:v>2023</x:v>
      </x:c>
      <x:c r="H222" s="47" t="n">
        <x:v>46202</x:v>
      </x:c>
      <x:c r="I222" t="str">
        <x:v>3개 월차 만근 소급</x:v>
      </x:c>
      <x:c r="J222" s="58" t="n">
        <x:v>46202</x:v>
      </x:c>
    </x:row>
    <x:row r="223">
      <x:c r="A223" t="str">
        <x:v>53dec6e9-e53e-4b71-87a5-750a82c87b02</x:v>
      </x:c>
      <x:c r="B223" t="str">
        <x:v>박철홍정형외과</x:v>
      </x:c>
      <x:c r="C223" t="str">
        <x:v>이가연</x:v>
      </x:c>
      <x:c r="D223" t="str">
        <x:v>monthly</x:v>
      </x:c>
      <x:c r="E223" t="str">
        <x:v>2023-12</x:v>
      </x:c>
      <x:c r="F223" s="56" t="n">
        <x:v>1</x:v>
      </x:c>
      <x:c r="G223" s="57" t="n">
        <x:v>2023</x:v>
      </x:c>
      <x:c r="H223" s="47" t="n">
        <x:v>46202</x:v>
      </x:c>
      <x:c r="I223" t="str">
        <x:v>4개 월차 만근 소급</x:v>
      </x:c>
      <x:c r="J223" s="58" t="n">
        <x:v>46202</x:v>
      </x:c>
    </x:row>
    <x:row r="224">
      <x:c r="A224" t="str">
        <x:v>53dec6e9-e53e-4b71-87a5-750a82c87b02</x:v>
      </x:c>
      <x:c r="B224" t="str">
        <x:v>박철홍정형외과</x:v>
      </x:c>
      <x:c r="C224" t="str">
        <x:v>이가연</x:v>
      </x:c>
      <x:c r="D224" t="str">
        <x:v>monthly</x:v>
      </x:c>
      <x:c r="E224" t="str">
        <x:v>2024-01</x:v>
      </x:c>
      <x:c r="F224" s="56" t="n">
        <x:v>1</x:v>
      </x:c>
      <x:c r="G224" s="57" t="n">
        <x:v>2024</x:v>
      </x:c>
      <x:c r="H224" s="47" t="n">
        <x:v>46202</x:v>
      </x:c>
      <x:c r="I224" t="str">
        <x:v>5개 월차 만근 소급</x:v>
      </x:c>
      <x:c r="J224" s="58" t="n">
        <x:v>46202</x:v>
      </x:c>
    </x:row>
    <x:row r="225">
      <x:c r="A225" t="str">
        <x:v>53dec6e9-e53e-4b71-87a5-750a82c87b02</x:v>
      </x:c>
      <x:c r="B225" t="str">
        <x:v>박철홍정형외과</x:v>
      </x:c>
      <x:c r="C225" t="str">
        <x:v>이가연</x:v>
      </x:c>
      <x:c r="D225" t="str">
        <x:v>monthly</x:v>
      </x:c>
      <x:c r="E225" t="str">
        <x:v>2024-02</x:v>
      </x:c>
      <x:c r="F225" s="56" t="n">
        <x:v>1</x:v>
      </x:c>
      <x:c r="G225" s="57" t="n">
        <x:v>2024</x:v>
      </x:c>
      <x:c r="H225" s="47" t="n">
        <x:v>46202</x:v>
      </x:c>
      <x:c r="I225" t="str">
        <x:v>6개 월차 만근 소급</x:v>
      </x:c>
      <x:c r="J225" s="58" t="n">
        <x:v>46202</x:v>
      </x:c>
    </x:row>
    <x:row r="226">
      <x:c r="A226" t="str">
        <x:v>53dec6e9-e53e-4b71-87a5-750a82c87b02</x:v>
      </x:c>
      <x:c r="B226" t="str">
        <x:v>박철홍정형외과</x:v>
      </x:c>
      <x:c r="C226" t="str">
        <x:v>이가연</x:v>
      </x:c>
      <x:c r="D226" t="str">
        <x:v>monthly</x:v>
      </x:c>
      <x:c r="E226" t="str">
        <x:v>2024-03</x:v>
      </x:c>
      <x:c r="F226" s="56" t="n">
        <x:v>1</x:v>
      </x:c>
      <x:c r="G226" s="57" t="n">
        <x:v>2024</x:v>
      </x:c>
      <x:c r="H226" s="47" t="n">
        <x:v>46202</x:v>
      </x:c>
      <x:c r="I226" t="str">
        <x:v>7개 월차 만근 소급</x:v>
      </x:c>
      <x:c r="J226" s="58" t="n">
        <x:v>46202</x:v>
      </x:c>
    </x:row>
    <x:row r="227">
      <x:c r="A227" t="str">
        <x:v>53dec6e9-e53e-4b71-87a5-750a82c87b02</x:v>
      </x:c>
      <x:c r="B227" t="str">
        <x:v>박철홍정형외과</x:v>
      </x:c>
      <x:c r="C227" t="str">
        <x:v>이가연</x:v>
      </x:c>
      <x:c r="D227" t="str">
        <x:v>monthly</x:v>
      </x:c>
      <x:c r="E227" t="str">
        <x:v>2024-04</x:v>
      </x:c>
      <x:c r="F227" s="56" t="n">
        <x:v>1</x:v>
      </x:c>
      <x:c r="G227" s="57" t="n">
        <x:v>2024</x:v>
      </x:c>
      <x:c r="H227" s="47" t="n">
        <x:v>46202</x:v>
      </x:c>
      <x:c r="I227" t="str">
        <x:v>8개 월차 만근 소급</x:v>
      </x:c>
      <x:c r="J227" s="58" t="n">
        <x:v>46202</x:v>
      </x:c>
    </x:row>
    <x:row r="228">
      <x:c r="A228" t="str">
        <x:v>53dec6e9-e53e-4b71-87a5-750a82c87b02</x:v>
      </x:c>
      <x:c r="B228" t="str">
        <x:v>박철홍정형외과</x:v>
      </x:c>
      <x:c r="C228" t="str">
        <x:v>이가연</x:v>
      </x:c>
      <x:c r="D228" t="str">
        <x:v>monthly</x:v>
      </x:c>
      <x:c r="E228" t="str">
        <x:v>2024-05</x:v>
      </x:c>
      <x:c r="F228" s="56" t="n">
        <x:v>1</x:v>
      </x:c>
      <x:c r="G228" s="57" t="n">
        <x:v>2024</x:v>
      </x:c>
      <x:c r="H228" s="47" t="n">
        <x:v>46202</x:v>
      </x:c>
      <x:c r="I228" t="str">
        <x:v>9개 월차 만근 소급</x:v>
      </x:c>
      <x:c r="J228" s="58" t="n">
        <x:v>46202</x:v>
      </x:c>
    </x:row>
    <x:row r="229">
      <x:c r="A229" t="str">
        <x:v>53dec6e9-e53e-4b71-87a5-750a82c87b02</x:v>
      </x:c>
      <x:c r="B229" t="str">
        <x:v>박철홍정형외과</x:v>
      </x:c>
      <x:c r="C229" t="str">
        <x:v>이가연</x:v>
      </x:c>
      <x:c r="D229" t="str">
        <x:v>monthly</x:v>
      </x:c>
      <x:c r="E229" t="str">
        <x:v>2024-06</x:v>
      </x:c>
      <x:c r="F229" s="56" t="n">
        <x:v>1</x:v>
      </x:c>
      <x:c r="G229" s="57" t="n">
        <x:v>2024</x:v>
      </x:c>
      <x:c r="H229" s="47" t="n">
        <x:v>46202</x:v>
      </x:c>
      <x:c r="I229" t="str">
        <x:v>10개 월차 만근 소급</x:v>
      </x:c>
      <x:c r="J229" s="58" t="n">
        <x:v>46202</x:v>
      </x:c>
    </x:row>
    <x:row r="230">
      <x:c r="A230" t="str">
        <x:v>53dec6e9-e53e-4b71-87a5-750a82c87b02</x:v>
      </x:c>
      <x:c r="B230" t="str">
        <x:v>박철홍정형외과</x:v>
      </x:c>
      <x:c r="C230" t="str">
        <x:v>이가연</x:v>
      </x:c>
      <x:c r="D230" t="str">
        <x:v>monthly</x:v>
      </x:c>
      <x:c r="E230" t="str">
        <x:v>2024-07</x:v>
      </x:c>
      <x:c r="F230" s="56" t="n">
        <x:v>1</x:v>
      </x:c>
      <x:c r="G230" s="57" t="n">
        <x:v>2024</x:v>
      </x:c>
      <x:c r="H230" s="47" t="n">
        <x:v>46202</x:v>
      </x:c>
      <x:c r="I230" t="str">
        <x:v>11개 월차 만근 소급</x:v>
      </x:c>
      <x:c r="J230" s="58" t="n">
        <x:v>46202</x:v>
      </x:c>
    </x:row>
    <x:row r="231">
      <x:c r="A231" t="str">
        <x:v>53dec6e9-e53e-4b71-87a5-750a82c87b02</x:v>
      </x:c>
      <x:c r="B231" t="str">
        <x:v>박철홍정형외과</x:v>
      </x:c>
      <x:c r="C231" t="str">
        <x:v>이가연</x:v>
      </x:c>
      <x:c r="D231" t="str">
        <x:v>annual</x:v>
      </x:c>
      <x:c r="E231" t="str">
        <x:v>annual:1</x:v>
      </x:c>
      <x:c r="F231" s="56" t="n">
        <x:v>15</x:v>
      </x:c>
      <x:c r="G231" s="57" t="n">
        <x:v>2026</x:v>
      </x:c>
      <x:c r="H231" s="47" t="n">
        <x:v>45543</x:v>
      </x:c>
      <x:c r="I231" t="str">
        <x:v>만 1년차 연차 15일 자동부여</x:v>
      </x:c>
      <x:c r="J231" s="58" t="n">
        <x:v>45543</x:v>
      </x:c>
    </x:row>
    <x:row r="232">
      <x:c r="A232" t="str">
        <x:v>53dec6e9-e53e-4b71-87a5-750a82c87b02</x:v>
      </x:c>
      <x:c r="B232" t="str">
        <x:v>박철홍정형외과</x:v>
      </x:c>
      <x:c r="C232" t="str">
        <x:v>이가연</x:v>
      </x:c>
      <x:c r="D232" t="str">
        <x:v>annual</x:v>
      </x:c>
      <x:c r="E232" t="str">
        <x:v>annual:2</x:v>
      </x:c>
      <x:c r="F232" s="56" t="n">
        <x:v>15</x:v>
      </x:c>
      <x:c r="G232" s="57" t="n">
        <x:v>2026</x:v>
      </x:c>
      <x:c r="H232" s="47" t="n">
        <x:v>45908</x:v>
      </x:c>
      <x:c r="I232" t="str">
        <x:v>만 2년차 연차 15일 자동부여</x:v>
      </x:c>
      <x:c r="J232" s="58" t="n">
        <x:v>45908</x:v>
      </x:c>
    </x:row>
    <x:row r="233">
      <x:c r="A233" t="str">
        <x:v>ec518989-06ae-4511-a634-28cdd24c9d2f</x:v>
      </x:c>
      <x:c r="B233" t="str">
        <x:v>박철홍정형외과</x:v>
      </x:c>
      <x:c r="C233" t="str">
        <x:v>이대성</x:v>
      </x:c>
      <x:c r="D233" t="str">
        <x:v>monthly</x:v>
      </x:c>
      <x:c r="E233" t="str">
        <x:v>2026-01</x:v>
      </x:c>
      <x:c r="F233" s="56" t="n">
        <x:v>1</x:v>
      </x:c>
      <x:c r="G233" s="57" t="n">
        <x:v>2026</x:v>
      </x:c>
      <x:c r="H233" s="47" t="n">
        <x:v>46072</x:v>
      </x:c>
      <x:c r="I233" t="str">
        <x:v>1개월차 만근 +1일</x:v>
      </x:c>
      <x:c r="J233" s="58" t="n">
        <x:v>46072</x:v>
      </x:c>
    </x:row>
    <x:row r="234">
      <x:c r="A234" t="str">
        <x:v>ec518989-06ae-4511-a634-28cdd24c9d2f</x:v>
      </x:c>
      <x:c r="B234" t="str">
        <x:v>박철홍정형외과</x:v>
      </x:c>
      <x:c r="C234" t="str">
        <x:v>이대성</x:v>
      </x:c>
      <x:c r="D234" t="str">
        <x:v>monthly</x:v>
      </x:c>
      <x:c r="E234" t="str">
        <x:v>2026-02</x:v>
      </x:c>
      <x:c r="F234" s="56" t="n">
        <x:v>1</x:v>
      </x:c>
      <x:c r="G234" s="57" t="n">
        <x:v>2026</x:v>
      </x:c>
      <x:c r="H234" s="47" t="n">
        <x:v>46100</x:v>
      </x:c>
      <x:c r="I234" t="str">
        <x:v>2개월차 만근 +1일</x:v>
      </x:c>
      <x:c r="J234" s="58" t="n">
        <x:v>46100</x:v>
      </x:c>
    </x:row>
    <x:row r="235">
      <x:c r="A235" t="str">
        <x:v>ec518989-06ae-4511-a634-28cdd24c9d2f</x:v>
      </x:c>
      <x:c r="B235" t="str">
        <x:v>박철홍정형외과</x:v>
      </x:c>
      <x:c r="C235" t="str">
        <x:v>이대성</x:v>
      </x:c>
      <x:c r="D235" t="str">
        <x:v>monthly</x:v>
      </x:c>
      <x:c r="E235" t="str">
        <x:v>2026-03</x:v>
      </x:c>
      <x:c r="F235" s="56" t="n">
        <x:v>1</x:v>
      </x:c>
      <x:c r="G235" s="57" t="n">
        <x:v>2026</x:v>
      </x:c>
      <x:c r="H235" s="47" t="n">
        <x:v>46131</x:v>
      </x:c>
      <x:c r="I235" t="str">
        <x:v>3개월차 만근 +1일</x:v>
      </x:c>
      <x:c r="J235" s="58" t="n">
        <x:v>46131</x:v>
      </x:c>
    </x:row>
    <x:row r="236">
      <x:c r="A236" t="str">
        <x:v>ec518989-06ae-4511-a634-28cdd24c9d2f</x:v>
      </x:c>
      <x:c r="B236" t="str">
        <x:v>박철홍정형외과</x:v>
      </x:c>
      <x:c r="C236" t="str">
        <x:v>이대성</x:v>
      </x:c>
      <x:c r="D236" t="str">
        <x:v>monthly</x:v>
      </x:c>
      <x:c r="E236" t="str">
        <x:v>2026-04</x:v>
      </x:c>
      <x:c r="F236" s="56" t="n">
        <x:v>1</x:v>
      </x:c>
      <x:c r="G236" s="57" t="n">
        <x:v>2026</x:v>
      </x:c>
      <x:c r="H236" s="47" t="n">
        <x:v>46161</x:v>
      </x:c>
      <x:c r="I236" t="str">
        <x:v>4개월차 만근 +1일</x:v>
      </x:c>
      <x:c r="J236" s="58" t="n">
        <x:v>46161</x:v>
      </x:c>
    </x:row>
    <x:row r="237">
      <x:c r="A237" t="str">
        <x:v>ec518989-06ae-4511-a634-28cdd24c9d2f</x:v>
      </x:c>
      <x:c r="B237" t="str">
        <x:v>박철홍정형외과</x:v>
      </x:c>
      <x:c r="C237" t="str">
        <x:v>이대성</x:v>
      </x:c>
      <x:c r="D237" t="str">
        <x:v>monthly</x:v>
      </x:c>
      <x:c r="E237" t="str">
        <x:v>2026-05</x:v>
      </x:c>
      <x:c r="F237" s="56" t="n">
        <x:v>1</x:v>
      </x:c>
      <x:c r="G237" s="57" t="n">
        <x:v>2026</x:v>
      </x:c>
      <x:c r="H237" s="47" t="n">
        <x:v>46192</x:v>
      </x:c>
      <x:c r="I237" t="str">
        <x:v>5개월차 만근 +1일</x:v>
      </x:c>
      <x:c r="J237" s="58" t="n">
        <x:v>46192</x:v>
      </x:c>
    </x:row>
    <x:row r="238">
      <x:c r="A238" t="str">
        <x:v>e96c1d3f-6871-4ae0-a030-73f5e54136a9</x:v>
      </x:c>
      <x:c r="B238" t="str">
        <x:v>박철홍정형외과</x:v>
      </x:c>
      <x:c r="C238" t="str">
        <x:v>이승현</x:v>
      </x:c>
      <x:c r="D238" t="str">
        <x:v>monthly</x:v>
      </x:c>
      <x:c r="E238" t="str">
        <x:v>2025-08</x:v>
      </x:c>
      <x:c r="F238" s="56" t="n">
        <x:v>1</x:v>
      </x:c>
      <x:c r="G238" s="57" t="n">
        <x:v>2026</x:v>
      </x:c>
      <x:c r="H238" s="47" t="n">
        <x:v>45901</x:v>
      </x:c>
      <x:c r="I238" t="str">
        <x:v>1개월차 만근 +1일</x:v>
      </x:c>
      <x:c r="J238" s="58" t="n">
        <x:v>45901</x:v>
      </x:c>
    </x:row>
    <x:row r="239">
      <x:c r="A239" t="str">
        <x:v>e96c1d3f-6871-4ae0-a030-73f5e54136a9</x:v>
      </x:c>
      <x:c r="B239" t="str">
        <x:v>박철홍정형외과</x:v>
      </x:c>
      <x:c r="C239" t="str">
        <x:v>이승현</x:v>
      </x:c>
      <x:c r="D239" t="str">
        <x:v>monthly</x:v>
      </x:c>
      <x:c r="E239" t="str">
        <x:v>2025-09</x:v>
      </x:c>
      <x:c r="F239" s="56" t="n">
        <x:v>1</x:v>
      </x:c>
      <x:c r="G239" s="57" t="n">
        <x:v>2026</x:v>
      </x:c>
      <x:c r="H239" s="47" t="n">
        <x:v>45931</x:v>
      </x:c>
      <x:c r="I239" t="str">
        <x:v>2개월차 만근 +1일</x:v>
      </x:c>
      <x:c r="J239" s="58" t="n">
        <x:v>45931</x:v>
      </x:c>
    </x:row>
    <x:row r="240">
      <x:c r="A240" t="str">
        <x:v>e96c1d3f-6871-4ae0-a030-73f5e54136a9</x:v>
      </x:c>
      <x:c r="B240" t="str">
        <x:v>박철홍정형외과</x:v>
      </x:c>
      <x:c r="C240" t="str">
        <x:v>이승현</x:v>
      </x:c>
      <x:c r="D240" t="str">
        <x:v>monthly</x:v>
      </x:c>
      <x:c r="E240" t="str">
        <x:v>2025-10</x:v>
      </x:c>
      <x:c r="F240" s="56" t="n">
        <x:v>1</x:v>
      </x:c>
      <x:c r="G240" s="57" t="n">
        <x:v>2026</x:v>
      </x:c>
      <x:c r="H240" s="47" t="n">
        <x:v>45962</x:v>
      </x:c>
      <x:c r="I240" t="str">
        <x:v>3개월차 만근 +1일</x:v>
      </x:c>
      <x:c r="J240" s="58" t="n">
        <x:v>45962</x:v>
      </x:c>
    </x:row>
    <x:row r="241">
      <x:c r="A241" t="str">
        <x:v>e96c1d3f-6871-4ae0-a030-73f5e54136a9</x:v>
      </x:c>
      <x:c r="B241" t="str">
        <x:v>박철홍정형외과</x:v>
      </x:c>
      <x:c r="C241" t="str">
        <x:v>이승현</x:v>
      </x:c>
      <x:c r="D241" t="str">
        <x:v>monthly</x:v>
      </x:c>
      <x:c r="E241" t="str">
        <x:v>2025-11</x:v>
      </x:c>
      <x:c r="F241" s="56" t="n">
        <x:v>1</x:v>
      </x:c>
      <x:c r="G241" s="57" t="n">
        <x:v>2026</x:v>
      </x:c>
      <x:c r="H241" s="47" t="n">
        <x:v>45992</x:v>
      </x:c>
      <x:c r="I241" t="str">
        <x:v>4개월차 만근 +1일</x:v>
      </x:c>
      <x:c r="J241" s="58" t="n">
        <x:v>45992</x:v>
      </x:c>
    </x:row>
    <x:row r="242">
      <x:c r="A242" t="str">
        <x:v>e96c1d3f-6871-4ae0-a030-73f5e54136a9</x:v>
      </x:c>
      <x:c r="B242" t="str">
        <x:v>박철홍정형외과</x:v>
      </x:c>
      <x:c r="C242" t="str">
        <x:v>이승현</x:v>
      </x:c>
      <x:c r="D242" t="str">
        <x:v>monthly</x:v>
      </x:c>
      <x:c r="E242" t="str">
        <x:v>2025-12</x:v>
      </x:c>
      <x:c r="F242" s="56" t="n">
        <x:v>1</x:v>
      </x:c>
      <x:c r="G242" s="57" t="n">
        <x:v>2026</x:v>
      </x:c>
      <x:c r="H242" s="47" t="n">
        <x:v>46023</x:v>
      </x:c>
      <x:c r="I242" t="str">
        <x:v>5개월차 만근 +1일</x:v>
      </x:c>
      <x:c r="J242" s="58" t="n">
        <x:v>46023</x:v>
      </x:c>
    </x:row>
    <x:row r="243">
      <x:c r="A243" t="str">
        <x:v>e96c1d3f-6871-4ae0-a030-73f5e54136a9</x:v>
      </x:c>
      <x:c r="B243" t="str">
        <x:v>박철홍정형외과</x:v>
      </x:c>
      <x:c r="C243" t="str">
        <x:v>이승현</x:v>
      </x:c>
      <x:c r="D243" t="str">
        <x:v>monthly</x:v>
      </x:c>
      <x:c r="E243" t="str">
        <x:v>2026-01</x:v>
      </x:c>
      <x:c r="F243" s="56" t="n">
        <x:v>1</x:v>
      </x:c>
      <x:c r="G243" s="57" t="n">
        <x:v>2026</x:v>
      </x:c>
      <x:c r="H243" s="47" t="n">
        <x:v>46054</x:v>
      </x:c>
      <x:c r="I243" t="str">
        <x:v>6개월차 만근 +1일</x:v>
      </x:c>
      <x:c r="J243" s="58" t="n">
        <x:v>46054</x:v>
      </x:c>
    </x:row>
    <x:row r="244">
      <x:c r="A244" t="str">
        <x:v>e96c1d3f-6871-4ae0-a030-73f5e54136a9</x:v>
      </x:c>
      <x:c r="B244" t="str">
        <x:v>박철홍정형외과</x:v>
      </x:c>
      <x:c r="C244" t="str">
        <x:v>이승현</x:v>
      </x:c>
      <x:c r="D244" t="str">
        <x:v>monthly</x:v>
      </x:c>
      <x:c r="E244" t="str">
        <x:v>2026-02</x:v>
      </x:c>
      <x:c r="F244" s="56" t="n">
        <x:v>1</x:v>
      </x:c>
      <x:c r="G244" s="57" t="n">
        <x:v>2026</x:v>
      </x:c>
      <x:c r="H244" s="47" t="n">
        <x:v>46082</x:v>
      </x:c>
      <x:c r="I244" t="str">
        <x:v>7개월차 만근 +1일</x:v>
      </x:c>
      <x:c r="J244" s="58" t="n">
        <x:v>46082</x:v>
      </x:c>
    </x:row>
    <x:row r="245">
      <x:c r="A245" t="str">
        <x:v>e96c1d3f-6871-4ae0-a030-73f5e54136a9</x:v>
      </x:c>
      <x:c r="B245" t="str">
        <x:v>박철홍정형외과</x:v>
      </x:c>
      <x:c r="C245" t="str">
        <x:v>이승현</x:v>
      </x:c>
      <x:c r="D245" t="str">
        <x:v>monthly</x:v>
      </x:c>
      <x:c r="E245" t="str">
        <x:v>2026-03</x:v>
      </x:c>
      <x:c r="F245" s="56" t="n">
        <x:v>1</x:v>
      </x:c>
      <x:c r="G245" s="57" t="n">
        <x:v>2026</x:v>
      </x:c>
      <x:c r="H245" s="47" t="n">
        <x:v>46113</x:v>
      </x:c>
      <x:c r="I245" t="str">
        <x:v>8개월차 만근 +1일</x:v>
      </x:c>
      <x:c r="J245" s="58" t="n">
        <x:v>46113</x:v>
      </x:c>
    </x:row>
    <x:row r="246">
      <x:c r="A246" t="str">
        <x:v>e96c1d3f-6871-4ae0-a030-73f5e54136a9</x:v>
      </x:c>
      <x:c r="B246" t="str">
        <x:v>박철홍정형외과</x:v>
      </x:c>
      <x:c r="C246" t="str">
        <x:v>이승현</x:v>
      </x:c>
      <x:c r="D246" t="str">
        <x:v>monthly</x:v>
      </x:c>
      <x:c r="E246" t="str">
        <x:v>2026-04</x:v>
      </x:c>
      <x:c r="F246" s="56" t="n">
        <x:v>1</x:v>
      </x:c>
      <x:c r="G246" s="57" t="n">
        <x:v>2026</x:v>
      </x:c>
      <x:c r="H246" s="47" t="n">
        <x:v>46143</x:v>
      </x:c>
      <x:c r="I246" t="str">
        <x:v>9개월차 만근 +1일</x:v>
      </x:c>
      <x:c r="J246" s="58" t="n">
        <x:v>46143</x:v>
      </x:c>
    </x:row>
    <x:row r="247">
      <x:c r="A247" t="str">
        <x:v>e96c1d3f-6871-4ae0-a030-73f5e54136a9</x:v>
      </x:c>
      <x:c r="B247" t="str">
        <x:v>박철홍정형외과</x:v>
      </x:c>
      <x:c r="C247" t="str">
        <x:v>이승현</x:v>
      </x:c>
      <x:c r="D247" t="str">
        <x:v>monthly</x:v>
      </x:c>
      <x:c r="E247" t="str">
        <x:v>2026-05</x:v>
      </x:c>
      <x:c r="F247" s="56" t="n">
        <x:v>1</x:v>
      </x:c>
      <x:c r="G247" s="57" t="n">
        <x:v>2026</x:v>
      </x:c>
      <x:c r="H247" s="47" t="n">
        <x:v>46174</x:v>
      </x:c>
      <x:c r="I247" t="str">
        <x:v>10개월차 만근 +1일</x:v>
      </x:c>
      <x:c r="J247" s="58" t="n">
        <x:v>46174</x:v>
      </x:c>
    </x:row>
    <x:row r="248">
      <x:c r="A248" t="str">
        <x:v>e96c1d3f-6871-4ae0-a030-73f5e54136a9</x:v>
      </x:c>
      <x:c r="B248" t="str">
        <x:v>박철홍정형외과</x:v>
      </x:c>
      <x:c r="C248" t="str">
        <x:v>이승현</x:v>
      </x:c>
      <x:c r="D248" t="str">
        <x:v>monthly</x:v>
      </x:c>
      <x:c r="E248" t="str">
        <x:v>2026-06</x:v>
      </x:c>
      <x:c r="F248" s="56" t="n">
        <x:v>1</x:v>
      </x:c>
      <x:c r="G248" s="57" t="n">
        <x:v>2026</x:v>
      </x:c>
      <x:c r="H248" s="47" t="n">
        <x:v>46218</x:v>
      </x:c>
      <x:c r="I248" t="str">
        <x:v>11개월차 만근 +1일(백필)</x:v>
      </x:c>
      <x:c r="J248" s="58" t="n">
        <x:v>46218</x:v>
      </x:c>
    </x:row>
    <x:row r="249">
      <x:c r="A249" t="str">
        <x:v>33216f24-2468-4eee-80d1-e51b30249654</x:v>
      </x:c>
      <x:c r="B249" t="str">
        <x:v>박철홍정형외과</x:v>
      </x:c>
      <x:c r="C249" t="str">
        <x:v>이지현</x:v>
      </x:c>
      <x:c r="D249" t="str">
        <x:v>monthly</x:v>
      </x:c>
      <x:c r="E249" t="str">
        <x:v>2025-08</x:v>
      </x:c>
      <x:c r="F249" s="56" t="n">
        <x:v>1</x:v>
      </x:c>
      <x:c r="G249" s="57" t="n">
        <x:v>2026</x:v>
      </x:c>
      <x:c r="H249" s="47" t="n">
        <x:v>45901</x:v>
      </x:c>
      <x:c r="I249" t="str">
        <x:v>1개월차 만근 +1일</x:v>
      </x:c>
      <x:c r="J249" s="58" t="n">
        <x:v>45901</x:v>
      </x:c>
    </x:row>
    <x:row r="250">
      <x:c r="A250" t="str">
        <x:v>33216f24-2468-4eee-80d1-e51b30249654</x:v>
      </x:c>
      <x:c r="B250" t="str">
        <x:v>박철홍정형외과</x:v>
      </x:c>
      <x:c r="C250" t="str">
        <x:v>이지현</x:v>
      </x:c>
      <x:c r="D250" t="str">
        <x:v>monthly</x:v>
      </x:c>
      <x:c r="E250" t="str">
        <x:v>2025-09</x:v>
      </x:c>
      <x:c r="F250" s="56" t="n">
        <x:v>1</x:v>
      </x:c>
      <x:c r="G250" s="57" t="n">
        <x:v>2026</x:v>
      </x:c>
      <x:c r="H250" s="47" t="n">
        <x:v>45931</x:v>
      </x:c>
      <x:c r="I250" t="str">
        <x:v>2개월차 만근 +1일</x:v>
      </x:c>
      <x:c r="J250" s="58" t="n">
        <x:v>45931</x:v>
      </x:c>
    </x:row>
    <x:row r="251">
      <x:c r="A251" t="str">
        <x:v>33216f24-2468-4eee-80d1-e51b30249654</x:v>
      </x:c>
      <x:c r="B251" t="str">
        <x:v>박철홍정형외과</x:v>
      </x:c>
      <x:c r="C251" t="str">
        <x:v>이지현</x:v>
      </x:c>
      <x:c r="D251" t="str">
        <x:v>monthly</x:v>
      </x:c>
      <x:c r="E251" t="str">
        <x:v>2025-10</x:v>
      </x:c>
      <x:c r="F251" s="56" t="n">
        <x:v>1</x:v>
      </x:c>
      <x:c r="G251" s="57" t="n">
        <x:v>2026</x:v>
      </x:c>
      <x:c r="H251" s="47" t="n">
        <x:v>45962</x:v>
      </x:c>
      <x:c r="I251" t="str">
        <x:v>3개월차 만근 +1일</x:v>
      </x:c>
      <x:c r="J251" s="58" t="n">
        <x:v>45962</x:v>
      </x:c>
    </x:row>
    <x:row r="252">
      <x:c r="A252" t="str">
        <x:v>33216f24-2468-4eee-80d1-e51b30249654</x:v>
      </x:c>
      <x:c r="B252" t="str">
        <x:v>박철홍정형외과</x:v>
      </x:c>
      <x:c r="C252" t="str">
        <x:v>이지현</x:v>
      </x:c>
      <x:c r="D252" t="str">
        <x:v>monthly</x:v>
      </x:c>
      <x:c r="E252" t="str">
        <x:v>2025-11</x:v>
      </x:c>
      <x:c r="F252" s="56" t="n">
        <x:v>1</x:v>
      </x:c>
      <x:c r="G252" s="57" t="n">
        <x:v>2026</x:v>
      </x:c>
      <x:c r="H252" s="47" t="n">
        <x:v>45992</x:v>
      </x:c>
      <x:c r="I252" t="str">
        <x:v>4개월차 만근 +1일</x:v>
      </x:c>
      <x:c r="J252" s="58" t="n">
        <x:v>45992</x:v>
      </x:c>
    </x:row>
    <x:row r="253">
      <x:c r="A253" t="str">
        <x:v>33216f24-2468-4eee-80d1-e51b30249654</x:v>
      </x:c>
      <x:c r="B253" t="str">
        <x:v>박철홍정형외과</x:v>
      </x:c>
      <x:c r="C253" t="str">
        <x:v>이지현</x:v>
      </x:c>
      <x:c r="D253" t="str">
        <x:v>monthly</x:v>
      </x:c>
      <x:c r="E253" t="str">
        <x:v>2025-12</x:v>
      </x:c>
      <x:c r="F253" s="56" t="n">
        <x:v>1</x:v>
      </x:c>
      <x:c r="G253" s="57" t="n">
        <x:v>2026</x:v>
      </x:c>
      <x:c r="H253" s="47" t="n">
        <x:v>46023</x:v>
      </x:c>
      <x:c r="I253" t="str">
        <x:v>5개월차 만근 +1일</x:v>
      </x:c>
      <x:c r="J253" s="58" t="n">
        <x:v>46023</x:v>
      </x:c>
    </x:row>
    <x:row r="254">
      <x:c r="A254" t="str">
        <x:v>33216f24-2468-4eee-80d1-e51b30249654</x:v>
      </x:c>
      <x:c r="B254" t="str">
        <x:v>박철홍정형외과</x:v>
      </x:c>
      <x:c r="C254" t="str">
        <x:v>이지현</x:v>
      </x:c>
      <x:c r="D254" t="str">
        <x:v>monthly</x:v>
      </x:c>
      <x:c r="E254" t="str">
        <x:v>2026-01</x:v>
      </x:c>
      <x:c r="F254" s="56" t="n">
        <x:v>1</x:v>
      </x:c>
      <x:c r="G254" s="57" t="n">
        <x:v>2026</x:v>
      </x:c>
      <x:c r="H254" s="47" t="n">
        <x:v>46054</x:v>
      </x:c>
      <x:c r="I254" t="str">
        <x:v>6개월차 만근 +1일</x:v>
      </x:c>
      <x:c r="J254" s="58" t="n">
        <x:v>46054</x:v>
      </x:c>
    </x:row>
    <x:row r="255">
      <x:c r="A255" t="str">
        <x:v>33216f24-2468-4eee-80d1-e51b30249654</x:v>
      </x:c>
      <x:c r="B255" t="str">
        <x:v>박철홍정형외과</x:v>
      </x:c>
      <x:c r="C255" t="str">
        <x:v>이지현</x:v>
      </x:c>
      <x:c r="D255" t="str">
        <x:v>monthly</x:v>
      </x:c>
      <x:c r="E255" t="str">
        <x:v>2026-02</x:v>
      </x:c>
      <x:c r="F255" s="56" t="n">
        <x:v>1</x:v>
      </x:c>
      <x:c r="G255" s="57" t="n">
        <x:v>2026</x:v>
      </x:c>
      <x:c r="H255" s="47" t="n">
        <x:v>46082</x:v>
      </x:c>
      <x:c r="I255" t="str">
        <x:v>7개월차 만근 +1일</x:v>
      </x:c>
      <x:c r="J255" s="58" t="n">
        <x:v>46082</x:v>
      </x:c>
    </x:row>
    <x:row r="256">
      <x:c r="A256" t="str">
        <x:v>33216f24-2468-4eee-80d1-e51b30249654</x:v>
      </x:c>
      <x:c r="B256" t="str">
        <x:v>박철홍정형외과</x:v>
      </x:c>
      <x:c r="C256" t="str">
        <x:v>이지현</x:v>
      </x:c>
      <x:c r="D256" t="str">
        <x:v>monthly</x:v>
      </x:c>
      <x:c r="E256" t="str">
        <x:v>2026-03</x:v>
      </x:c>
      <x:c r="F256" s="56" t="n">
        <x:v>1</x:v>
      </x:c>
      <x:c r="G256" s="57" t="n">
        <x:v>2026</x:v>
      </x:c>
      <x:c r="H256" s="47" t="n">
        <x:v>46113</x:v>
      </x:c>
      <x:c r="I256" t="str">
        <x:v>8개월차 만근 +1일</x:v>
      </x:c>
      <x:c r="J256" s="58" t="n">
        <x:v>46113</x:v>
      </x:c>
    </x:row>
    <x:row r="257">
      <x:c r="A257" t="str">
        <x:v>33216f24-2468-4eee-80d1-e51b30249654</x:v>
      </x:c>
      <x:c r="B257" t="str">
        <x:v>박철홍정형외과</x:v>
      </x:c>
      <x:c r="C257" t="str">
        <x:v>이지현</x:v>
      </x:c>
      <x:c r="D257" t="str">
        <x:v>monthly</x:v>
      </x:c>
      <x:c r="E257" t="str">
        <x:v>2026-04</x:v>
      </x:c>
      <x:c r="F257" s="56" t="n">
        <x:v>1</x:v>
      </x:c>
      <x:c r="G257" s="57" t="n">
        <x:v>2026</x:v>
      </x:c>
      <x:c r="H257" s="47" t="n">
        <x:v>46143</x:v>
      </x:c>
      <x:c r="I257" t="str">
        <x:v>9개월차 만근 +1일</x:v>
      </x:c>
      <x:c r="J257" s="58" t="n">
        <x:v>46143</x:v>
      </x:c>
    </x:row>
    <x:row r="258">
      <x:c r="A258" t="str">
        <x:v>33216f24-2468-4eee-80d1-e51b30249654</x:v>
      </x:c>
      <x:c r="B258" t="str">
        <x:v>박철홍정형외과</x:v>
      </x:c>
      <x:c r="C258" t="str">
        <x:v>이지현</x:v>
      </x:c>
      <x:c r="D258" t="str">
        <x:v>monthly</x:v>
      </x:c>
      <x:c r="E258" t="str">
        <x:v>2026-05</x:v>
      </x:c>
      <x:c r="F258" s="56" t="n">
        <x:v>1</x:v>
      </x:c>
      <x:c r="G258" s="57" t="n">
        <x:v>2026</x:v>
      </x:c>
      <x:c r="H258" s="47" t="n">
        <x:v>46174</x:v>
      </x:c>
      <x:c r="I258" t="str">
        <x:v>10개월차 만근 +1일</x:v>
      </x:c>
      <x:c r="J258" s="58" t="n">
        <x:v>46174</x:v>
      </x:c>
    </x:row>
    <x:row r="259">
      <x:c r="A259" t="str">
        <x:v>33216f24-2468-4eee-80d1-e51b30249654</x:v>
      </x:c>
      <x:c r="B259" t="str">
        <x:v>박철홍정형외과</x:v>
      </x:c>
      <x:c r="C259" t="str">
        <x:v>이지현</x:v>
      </x:c>
      <x:c r="D259" t="str">
        <x:v>monthly</x:v>
      </x:c>
      <x:c r="E259" t="str">
        <x:v>2026-06</x:v>
      </x:c>
      <x:c r="F259" s="56" t="n">
        <x:v>1</x:v>
      </x:c>
      <x:c r="G259" s="57" t="n">
        <x:v>2026</x:v>
      </x:c>
      <x:c r="H259" s="47" t="n">
        <x:v>46218</x:v>
      </x:c>
      <x:c r="I259" t="str">
        <x:v>11개월차 만근 +1일(백필)</x:v>
      </x:c>
      <x:c r="J259" s="58" t="n">
        <x:v>46218</x:v>
      </x:c>
    </x:row>
    <x:row r="260">
      <x:c r="A260" t="str">
        <x:v>3f40505f-cac8-40c6-bb1d-1cec09e13729</x:v>
      </x:c>
      <x:c r="B260" t="str">
        <x:v>박철홍정형외과</x:v>
      </x:c>
      <x:c r="C260" t="str">
        <x:v>정가영</x:v>
      </x:c>
      <x:c r="D260" t="str">
        <x:v>monthly</x:v>
      </x:c>
      <x:c r="E260" t="str">
        <x:v>2025-11</x:v>
      </x:c>
      <x:c r="F260" s="56" t="n">
        <x:v>1</x:v>
      </x:c>
      <x:c r="G260" s="57" t="n">
        <x:v>2026</x:v>
      </x:c>
      <x:c r="H260" s="47" t="n">
        <x:v>46009</x:v>
      </x:c>
      <x:c r="I260" t="str">
        <x:v>1개월차 만근 +1일</x:v>
      </x:c>
      <x:c r="J260" s="58" t="n">
        <x:v>46009</x:v>
      </x:c>
    </x:row>
    <x:row r="261">
      <x:c r="A261" t="str">
        <x:v>3f40505f-cac8-40c6-bb1d-1cec09e13729</x:v>
      </x:c>
      <x:c r="B261" t="str">
        <x:v>박철홍정형외과</x:v>
      </x:c>
      <x:c r="C261" t="str">
        <x:v>정가영</x:v>
      </x:c>
      <x:c r="D261" t="str">
        <x:v>monthly</x:v>
      </x:c>
      <x:c r="E261" t="str">
        <x:v>2025-12</x:v>
      </x:c>
      <x:c r="F261" s="56" t="n">
        <x:v>1</x:v>
      </x:c>
      <x:c r="G261" s="57" t="n">
        <x:v>2026</x:v>
      </x:c>
      <x:c r="H261" s="47" t="n">
        <x:v>46040</x:v>
      </x:c>
      <x:c r="I261" t="str">
        <x:v>2개월차 만근 +1일</x:v>
      </x:c>
      <x:c r="J261" s="58" t="n">
        <x:v>46040</x:v>
      </x:c>
    </x:row>
    <x:row r="262">
      <x:c r="A262" t="str">
        <x:v>3f40505f-cac8-40c6-bb1d-1cec09e13729</x:v>
      </x:c>
      <x:c r="B262" t="str">
        <x:v>박철홍정형외과</x:v>
      </x:c>
      <x:c r="C262" t="str">
        <x:v>정가영</x:v>
      </x:c>
      <x:c r="D262" t="str">
        <x:v>monthly</x:v>
      </x:c>
      <x:c r="E262" t="str">
        <x:v>2026-01</x:v>
      </x:c>
      <x:c r="F262" s="56" t="n">
        <x:v>1</x:v>
      </x:c>
      <x:c r="G262" s="57" t="n">
        <x:v>2026</x:v>
      </x:c>
      <x:c r="H262" s="47" t="n">
        <x:v>46071</x:v>
      </x:c>
      <x:c r="I262" t="str">
        <x:v>3개월차 만근 +1일</x:v>
      </x:c>
      <x:c r="J262" s="58" t="n">
        <x:v>46071</x:v>
      </x:c>
    </x:row>
    <x:row r="263">
      <x:c r="A263" t="str">
        <x:v>3f40505f-cac8-40c6-bb1d-1cec09e13729</x:v>
      </x:c>
      <x:c r="B263" t="str">
        <x:v>박철홍정형외과</x:v>
      </x:c>
      <x:c r="C263" t="str">
        <x:v>정가영</x:v>
      </x:c>
      <x:c r="D263" t="str">
        <x:v>monthly</x:v>
      </x:c>
      <x:c r="E263" t="str">
        <x:v>2026-02</x:v>
      </x:c>
      <x:c r="F263" s="56" t="n">
        <x:v>1</x:v>
      </x:c>
      <x:c r="G263" s="57" t="n">
        <x:v>2026</x:v>
      </x:c>
      <x:c r="H263" s="47" t="n">
        <x:v>46099</x:v>
      </x:c>
      <x:c r="I263" t="str">
        <x:v>4개월차 만근 +1일</x:v>
      </x:c>
      <x:c r="J263" s="58" t="n">
        <x:v>46099</x:v>
      </x:c>
    </x:row>
    <x:row r="264">
      <x:c r="A264" t="str">
        <x:v>3f40505f-cac8-40c6-bb1d-1cec09e13729</x:v>
      </x:c>
      <x:c r="B264" t="str">
        <x:v>박철홍정형외과</x:v>
      </x:c>
      <x:c r="C264" t="str">
        <x:v>정가영</x:v>
      </x:c>
      <x:c r="D264" t="str">
        <x:v>monthly</x:v>
      </x:c>
      <x:c r="E264" t="str">
        <x:v>2026-03</x:v>
      </x:c>
      <x:c r="F264" s="56" t="n">
        <x:v>1</x:v>
      </x:c>
      <x:c r="G264" s="57" t="n">
        <x:v>2026</x:v>
      </x:c>
      <x:c r="H264" s="47" t="n">
        <x:v>46130</x:v>
      </x:c>
      <x:c r="I264" t="str">
        <x:v>5개월차 만근 +1일</x:v>
      </x:c>
      <x:c r="J264" s="58" t="n">
        <x:v>46130</x:v>
      </x:c>
    </x:row>
    <x:row r="265">
      <x:c r="A265" t="str">
        <x:v>3f40505f-cac8-40c6-bb1d-1cec09e13729</x:v>
      </x:c>
      <x:c r="B265" t="str">
        <x:v>박철홍정형외과</x:v>
      </x:c>
      <x:c r="C265" t="str">
        <x:v>정가영</x:v>
      </x:c>
      <x:c r="D265" t="str">
        <x:v>monthly</x:v>
      </x:c>
      <x:c r="E265" t="str">
        <x:v>2026-04</x:v>
      </x:c>
      <x:c r="F265" s="56" t="n">
        <x:v>1</x:v>
      </x:c>
      <x:c r="G265" s="57" t="n">
        <x:v>2026</x:v>
      </x:c>
      <x:c r="H265" s="47" t="n">
        <x:v>46160</x:v>
      </x:c>
      <x:c r="I265" t="str">
        <x:v>6개월차 만근 +1일</x:v>
      </x:c>
      <x:c r="J265" s="58" t="n">
        <x:v>46160</x:v>
      </x:c>
    </x:row>
    <x:row r="266">
      <x:c r="A266" t="str">
        <x:v>3f40505f-cac8-40c6-bb1d-1cec09e13729</x:v>
      </x:c>
      <x:c r="B266" t="str">
        <x:v>박철홍정형외과</x:v>
      </x:c>
      <x:c r="C266" t="str">
        <x:v>정가영</x:v>
      </x:c>
      <x:c r="D266" t="str">
        <x:v>monthly</x:v>
      </x:c>
      <x:c r="E266" t="str">
        <x:v>2026-05</x:v>
      </x:c>
      <x:c r="F266" s="56" t="n">
        <x:v>1</x:v>
      </x:c>
      <x:c r="G266" s="57" t="n">
        <x:v>2026</x:v>
      </x:c>
      <x:c r="H266" s="47" t="n">
        <x:v>46191</x:v>
      </x:c>
      <x:c r="I266" t="str">
        <x:v>7개월차 만근 +1일</x:v>
      </x:c>
      <x:c r="J266" s="58" t="n">
        <x:v>46191</x:v>
      </x:c>
    </x:row>
    <x:row r="267">
      <x:c r="A267" t="str">
        <x:v>204e0284-18b6-450e-ae91-5da0c053a655</x:v>
      </x:c>
      <x:c r="B267" t="str">
        <x:v>박철홍정형외과</x:v>
      </x:c>
      <x:c r="C267" t="str">
        <x:v>조숙현</x:v>
      </x:c>
      <x:c r="D267" t="str">
        <x:v>monthly</x:v>
      </x:c>
      <x:c r="E267" t="str">
        <x:v>2024-07</x:v>
      </x:c>
      <x:c r="F267" s="56" t="n">
        <x:v>1</x:v>
      </x:c>
      <x:c r="G267" s="57" t="n">
        <x:v>2024</x:v>
      </x:c>
      <x:c r="H267" s="47" t="n">
        <x:v>46202</x:v>
      </x:c>
      <x:c r="I267" t="str">
        <x:v>1개 월차 만근 소급</x:v>
      </x:c>
      <x:c r="J267" s="58" t="n">
        <x:v>46202</x:v>
      </x:c>
    </x:row>
    <x:row r="268">
      <x:c r="A268" t="str">
        <x:v>204e0284-18b6-450e-ae91-5da0c053a655</x:v>
      </x:c>
      <x:c r="B268" t="str">
        <x:v>박철홍정형외과</x:v>
      </x:c>
      <x:c r="C268" t="str">
        <x:v>조숙현</x:v>
      </x:c>
      <x:c r="D268" t="str">
        <x:v>monthly</x:v>
      </x:c>
      <x:c r="E268" t="str">
        <x:v>2024-08</x:v>
      </x:c>
      <x:c r="F268" s="56" t="n">
        <x:v>1</x:v>
      </x:c>
      <x:c r="G268" s="57" t="n">
        <x:v>2024</x:v>
      </x:c>
      <x:c r="H268" s="47" t="n">
        <x:v>46202</x:v>
      </x:c>
      <x:c r="I268" t="str">
        <x:v>2개 월차 만근 소급</x:v>
      </x:c>
      <x:c r="J268" s="58" t="n">
        <x:v>46202</x:v>
      </x:c>
    </x:row>
    <x:row r="269">
      <x:c r="A269" t="str">
        <x:v>204e0284-18b6-450e-ae91-5da0c053a655</x:v>
      </x:c>
      <x:c r="B269" t="str">
        <x:v>박철홍정형외과</x:v>
      </x:c>
      <x:c r="C269" t="str">
        <x:v>조숙현</x:v>
      </x:c>
      <x:c r="D269" t="str">
        <x:v>monthly</x:v>
      </x:c>
      <x:c r="E269" t="str">
        <x:v>2024-09</x:v>
      </x:c>
      <x:c r="F269" s="56" t="n">
        <x:v>1</x:v>
      </x:c>
      <x:c r="G269" s="57" t="n">
        <x:v>2024</x:v>
      </x:c>
      <x:c r="H269" s="47" t="n">
        <x:v>46202</x:v>
      </x:c>
      <x:c r="I269" t="str">
        <x:v>3개 월차 만근 소급</x:v>
      </x:c>
      <x:c r="J269" s="58" t="n">
        <x:v>46202</x:v>
      </x:c>
    </x:row>
    <x:row r="270">
      <x:c r="A270" t="str">
        <x:v>204e0284-18b6-450e-ae91-5da0c053a655</x:v>
      </x:c>
      <x:c r="B270" t="str">
        <x:v>박철홍정형외과</x:v>
      </x:c>
      <x:c r="C270" t="str">
        <x:v>조숙현</x:v>
      </x:c>
      <x:c r="D270" t="str">
        <x:v>monthly</x:v>
      </x:c>
      <x:c r="E270" t="str">
        <x:v>2024-10</x:v>
      </x:c>
      <x:c r="F270" s="56" t="n">
        <x:v>1</x:v>
      </x:c>
      <x:c r="G270" s="57" t="n">
        <x:v>2024</x:v>
      </x:c>
      <x:c r="H270" s="47" t="n">
        <x:v>46202</x:v>
      </x:c>
      <x:c r="I270" t="str">
        <x:v>4개 월차 만근 소급</x:v>
      </x:c>
      <x:c r="J270" s="58" t="n">
        <x:v>46202</x:v>
      </x:c>
    </x:row>
    <x:row r="271">
      <x:c r="A271" t="str">
        <x:v>204e0284-18b6-450e-ae91-5da0c053a655</x:v>
      </x:c>
      <x:c r="B271" t="str">
        <x:v>박철홍정형외과</x:v>
      </x:c>
      <x:c r="C271" t="str">
        <x:v>조숙현</x:v>
      </x:c>
      <x:c r="D271" t="str">
        <x:v>monthly</x:v>
      </x:c>
      <x:c r="E271" t="str">
        <x:v>2024-11</x:v>
      </x:c>
      <x:c r="F271" s="56" t="n">
        <x:v>1</x:v>
      </x:c>
      <x:c r="G271" s="57" t="n">
        <x:v>2024</x:v>
      </x:c>
      <x:c r="H271" s="47" t="n">
        <x:v>46202</x:v>
      </x:c>
      <x:c r="I271" t="str">
        <x:v>5개 월차 만근 소급</x:v>
      </x:c>
      <x:c r="J271" s="58" t="n">
        <x:v>46202</x:v>
      </x:c>
    </x:row>
    <x:row r="272">
      <x:c r="A272" t="str">
        <x:v>204e0284-18b6-450e-ae91-5da0c053a655</x:v>
      </x:c>
      <x:c r="B272" t="str">
        <x:v>박철홍정형외과</x:v>
      </x:c>
      <x:c r="C272" t="str">
        <x:v>조숙현</x:v>
      </x:c>
      <x:c r="D272" t="str">
        <x:v>monthly</x:v>
      </x:c>
      <x:c r="E272" t="str">
        <x:v>2024-12</x:v>
      </x:c>
      <x:c r="F272" s="56" t="n">
        <x:v>1</x:v>
      </x:c>
      <x:c r="G272" s="57" t="n">
        <x:v>2024</x:v>
      </x:c>
      <x:c r="H272" s="47" t="n">
        <x:v>46202</x:v>
      </x:c>
      <x:c r="I272" t="str">
        <x:v>6개 월차 만근 소급</x:v>
      </x:c>
      <x:c r="J272" s="58" t="n">
        <x:v>46202</x:v>
      </x:c>
    </x:row>
    <x:row r="273">
      <x:c r="A273" t="str">
        <x:v>204e0284-18b6-450e-ae91-5da0c053a655</x:v>
      </x:c>
      <x:c r="B273" t="str">
        <x:v>박철홍정형외과</x:v>
      </x:c>
      <x:c r="C273" t="str">
        <x:v>조숙현</x:v>
      </x:c>
      <x:c r="D273" t="str">
        <x:v>monthly</x:v>
      </x:c>
      <x:c r="E273" t="str">
        <x:v>2025-01</x:v>
      </x:c>
      <x:c r="F273" s="56" t="n">
        <x:v>1</x:v>
      </x:c>
      <x:c r="G273" s="57" t="n">
        <x:v>2025</x:v>
      </x:c>
      <x:c r="H273" s="47" t="n">
        <x:v>46202</x:v>
      </x:c>
      <x:c r="I273" t="str">
        <x:v>7개 월차 만근 소급</x:v>
      </x:c>
      <x:c r="J273" s="58" t="n">
        <x:v>46202</x:v>
      </x:c>
    </x:row>
    <x:row r="274">
      <x:c r="A274" t="str">
        <x:v>204e0284-18b6-450e-ae91-5da0c053a655</x:v>
      </x:c>
      <x:c r="B274" t="str">
        <x:v>박철홍정형외과</x:v>
      </x:c>
      <x:c r="C274" t="str">
        <x:v>조숙현</x:v>
      </x:c>
      <x:c r="D274" t="str">
        <x:v>monthly</x:v>
      </x:c>
      <x:c r="E274" t="str">
        <x:v>2025-02</x:v>
      </x:c>
      <x:c r="F274" s="56" t="n">
        <x:v>1</x:v>
      </x:c>
      <x:c r="G274" s="57" t="n">
        <x:v>2025</x:v>
      </x:c>
      <x:c r="H274" s="47" t="n">
        <x:v>46202</x:v>
      </x:c>
      <x:c r="I274" t="str">
        <x:v>8개 월차 만근 소급</x:v>
      </x:c>
      <x:c r="J274" s="58" t="n">
        <x:v>46202</x:v>
      </x:c>
    </x:row>
    <x:row r="275">
      <x:c r="A275" t="str">
        <x:v>204e0284-18b6-450e-ae91-5da0c053a655</x:v>
      </x:c>
      <x:c r="B275" t="str">
        <x:v>박철홍정형외과</x:v>
      </x:c>
      <x:c r="C275" t="str">
        <x:v>조숙현</x:v>
      </x:c>
      <x:c r="D275" t="str">
        <x:v>monthly</x:v>
      </x:c>
      <x:c r="E275" t="str">
        <x:v>2025-03</x:v>
      </x:c>
      <x:c r="F275" s="56" t="n">
        <x:v>1</x:v>
      </x:c>
      <x:c r="G275" s="57" t="n">
        <x:v>2025</x:v>
      </x:c>
      <x:c r="H275" s="47" t="n">
        <x:v>46202</x:v>
      </x:c>
      <x:c r="I275" t="str">
        <x:v>9개 월차 만근 소급</x:v>
      </x:c>
      <x:c r="J275" s="58" t="n">
        <x:v>46202</x:v>
      </x:c>
    </x:row>
    <x:row r="276">
      <x:c r="A276" t="str">
        <x:v>204e0284-18b6-450e-ae91-5da0c053a655</x:v>
      </x:c>
      <x:c r="B276" t="str">
        <x:v>박철홍정형외과</x:v>
      </x:c>
      <x:c r="C276" t="str">
        <x:v>조숙현</x:v>
      </x:c>
      <x:c r="D276" t="str">
        <x:v>monthly</x:v>
      </x:c>
      <x:c r="E276" t="str">
        <x:v>2025-04</x:v>
      </x:c>
      <x:c r="F276" s="56" t="n">
        <x:v>1</x:v>
      </x:c>
      <x:c r="G276" s="57" t="n">
        <x:v>2025</x:v>
      </x:c>
      <x:c r="H276" s="47" t="n">
        <x:v>46202</x:v>
      </x:c>
      <x:c r="I276" t="str">
        <x:v>10개 월차 만근 소급</x:v>
      </x:c>
      <x:c r="J276" s="58" t="n">
        <x:v>46202</x:v>
      </x:c>
    </x:row>
    <x:row r="277">
      <x:c r="A277" t="str">
        <x:v>204e0284-18b6-450e-ae91-5da0c053a655</x:v>
      </x:c>
      <x:c r="B277" t="str">
        <x:v>박철홍정형외과</x:v>
      </x:c>
      <x:c r="C277" t="str">
        <x:v>조숙현</x:v>
      </x:c>
      <x:c r="D277" t="str">
        <x:v>monthly</x:v>
      </x:c>
      <x:c r="E277" t="str">
        <x:v>2025-05</x:v>
      </x:c>
      <x:c r="F277" s="56" t="n">
        <x:v>1</x:v>
      </x:c>
      <x:c r="G277" s="57" t="n">
        <x:v>2025</x:v>
      </x:c>
      <x:c r="H277" s="47" t="n">
        <x:v>46202</x:v>
      </x:c>
      <x:c r="I277" t="str">
        <x:v>11개 월차 만근 소급</x:v>
      </x:c>
      <x:c r="J277" s="58" t="n">
        <x:v>46202</x:v>
      </x:c>
    </x:row>
    <x:row r="278">
      <x:c r="A278" t="str">
        <x:v>204e0284-18b6-450e-ae91-5da0c053a655</x:v>
      </x:c>
      <x:c r="B278" t="str">
        <x:v>박철홍정형외과</x:v>
      </x:c>
      <x:c r="C278" t="str">
        <x:v>조숙현</x:v>
      </x:c>
      <x:c r="D278" t="str">
        <x:v>annual</x:v>
      </x:c>
      <x:c r="E278" t="str">
        <x:v>annual:1</x:v>
      </x:c>
      <x:c r="F278" s="56" t="n">
        <x:v>15</x:v>
      </x:c>
      <x:c r="G278" s="57" t="n">
        <x:v>2026</x:v>
      </x:c>
      <x:c r="H278" s="47" t="n">
        <x:v>45853</x:v>
      </x:c>
      <x:c r="I278" t="str">
        <x:v>만 1년차 연차 15일 자동부여</x:v>
      </x:c>
      <x:c r="J278" s="58" t="n">
        <x:v>45853</x:v>
      </x:c>
    </x:row>
    <x:row r="279">
      <x:c r="A279" t="str">
        <x:v>204e0284-18b6-450e-ae91-5da0c053a655</x:v>
      </x:c>
      <x:c r="B279" t="str">
        <x:v>박철홍정형외과</x:v>
      </x:c>
      <x:c r="C279" t="str">
        <x:v>조숙현</x:v>
      </x:c>
      <x:c r="D279" t="str">
        <x:v>annual</x:v>
      </x:c>
      <x:c r="E279" t="str">
        <x:v>annual:2</x:v>
      </x:c>
      <x:c r="F279" s="56" t="n">
        <x:v>15</x:v>
      </x:c>
      <x:c r="G279" s="57" t="n">
        <x:v>2026</x:v>
      </x:c>
      <x:c r="H279" s="47" t="n">
        <x:v>46218</x:v>
      </x:c>
      <x:c r="I279" t="str">
        <x:v>만 2년차 연차 15일 자동부여(백필)</x:v>
      </x:c>
      <x:c r="J279" s="58" t="n">
        <x:v>46218</x:v>
      </x:c>
    </x:row>
    <x:row r="280">
      <x:c r="A280" t="str">
        <x:v>1b0bda03-c325-40d1-bc06-5d7db1d0b2d5</x:v>
      </x:c>
      <x:c r="B280" t="str">
        <x:v>박철홍정형외과</x:v>
      </x:c>
      <x:c r="C280" t="str">
        <x:v>조현준</x:v>
      </x:c>
      <x:c r="D280" t="str">
        <x:v>monthly</x:v>
      </x:c>
      <x:c r="E280" t="str">
        <x:v>2024-06</x:v>
      </x:c>
      <x:c r="F280" s="56" t="n">
        <x:v>1</x:v>
      </x:c>
      <x:c r="G280" s="57" t="n">
        <x:v>2024</x:v>
      </x:c>
      <x:c r="H280" s="47" t="n">
        <x:v>46202</x:v>
      </x:c>
      <x:c r="I280" t="str">
        <x:v>1개 월차 만근 소급</x:v>
      </x:c>
      <x:c r="J280" s="58" t="n">
        <x:v>46202</x:v>
      </x:c>
    </x:row>
    <x:row r="281">
      <x:c r="A281" t="str">
        <x:v>1b0bda03-c325-40d1-bc06-5d7db1d0b2d5</x:v>
      </x:c>
      <x:c r="B281" t="str">
        <x:v>박철홍정형외과</x:v>
      </x:c>
      <x:c r="C281" t="str">
        <x:v>조현준</x:v>
      </x:c>
      <x:c r="D281" t="str">
        <x:v>monthly</x:v>
      </x:c>
      <x:c r="E281" t="str">
        <x:v>2024-07</x:v>
      </x:c>
      <x:c r="F281" s="56" t="n">
        <x:v>1</x:v>
      </x:c>
      <x:c r="G281" s="57" t="n">
        <x:v>2024</x:v>
      </x:c>
      <x:c r="H281" s="47" t="n">
        <x:v>46202</x:v>
      </x:c>
      <x:c r="I281" t="str">
        <x:v>2개 월차 만근 소급</x:v>
      </x:c>
      <x:c r="J281" s="58" t="n">
        <x:v>46202</x:v>
      </x:c>
    </x:row>
    <x:row r="282">
      <x:c r="A282" t="str">
        <x:v>1b0bda03-c325-40d1-bc06-5d7db1d0b2d5</x:v>
      </x:c>
      <x:c r="B282" t="str">
        <x:v>박철홍정형외과</x:v>
      </x:c>
      <x:c r="C282" t="str">
        <x:v>조현준</x:v>
      </x:c>
      <x:c r="D282" t="str">
        <x:v>monthly</x:v>
      </x:c>
      <x:c r="E282" t="str">
        <x:v>2024-08</x:v>
      </x:c>
      <x:c r="F282" s="56" t="n">
        <x:v>1</x:v>
      </x:c>
      <x:c r="G282" s="57" t="n">
        <x:v>2024</x:v>
      </x:c>
      <x:c r="H282" s="47" t="n">
        <x:v>46202</x:v>
      </x:c>
      <x:c r="I282" t="str">
        <x:v>3개 월차 만근 소급</x:v>
      </x:c>
      <x:c r="J282" s="58" t="n">
        <x:v>46202</x:v>
      </x:c>
    </x:row>
    <x:row r="283">
      <x:c r="A283" t="str">
        <x:v>1b0bda03-c325-40d1-bc06-5d7db1d0b2d5</x:v>
      </x:c>
      <x:c r="B283" t="str">
        <x:v>박철홍정형외과</x:v>
      </x:c>
      <x:c r="C283" t="str">
        <x:v>조현준</x:v>
      </x:c>
      <x:c r="D283" t="str">
        <x:v>monthly</x:v>
      </x:c>
      <x:c r="E283" t="str">
        <x:v>2024-09</x:v>
      </x:c>
      <x:c r="F283" s="56" t="n">
        <x:v>1</x:v>
      </x:c>
      <x:c r="G283" s="57" t="n">
        <x:v>2024</x:v>
      </x:c>
      <x:c r="H283" s="47" t="n">
        <x:v>46202</x:v>
      </x:c>
      <x:c r="I283" t="str">
        <x:v>4개 월차 만근 소급</x:v>
      </x:c>
      <x:c r="J283" s="58" t="n">
        <x:v>46202</x:v>
      </x:c>
    </x:row>
    <x:row r="284">
      <x:c r="A284" t="str">
        <x:v>1b0bda03-c325-40d1-bc06-5d7db1d0b2d5</x:v>
      </x:c>
      <x:c r="B284" t="str">
        <x:v>박철홍정형외과</x:v>
      </x:c>
      <x:c r="C284" t="str">
        <x:v>조현준</x:v>
      </x:c>
      <x:c r="D284" t="str">
        <x:v>monthly</x:v>
      </x:c>
      <x:c r="E284" t="str">
        <x:v>2024-10</x:v>
      </x:c>
      <x:c r="F284" s="56" t="n">
        <x:v>1</x:v>
      </x:c>
      <x:c r="G284" s="57" t="n">
        <x:v>2024</x:v>
      </x:c>
      <x:c r="H284" s="47" t="n">
        <x:v>46202</x:v>
      </x:c>
      <x:c r="I284" t="str">
        <x:v>5개 월차 만근 소급</x:v>
      </x:c>
      <x:c r="J284" s="58" t="n">
        <x:v>46202</x:v>
      </x:c>
    </x:row>
    <x:row r="285">
      <x:c r="A285" t="str">
        <x:v>1b0bda03-c325-40d1-bc06-5d7db1d0b2d5</x:v>
      </x:c>
      <x:c r="B285" t="str">
        <x:v>박철홍정형외과</x:v>
      </x:c>
      <x:c r="C285" t="str">
        <x:v>조현준</x:v>
      </x:c>
      <x:c r="D285" t="str">
        <x:v>monthly</x:v>
      </x:c>
      <x:c r="E285" t="str">
        <x:v>2024-11</x:v>
      </x:c>
      <x:c r="F285" s="56" t="n">
        <x:v>1</x:v>
      </x:c>
      <x:c r="G285" s="57" t="n">
        <x:v>2024</x:v>
      </x:c>
      <x:c r="H285" s="47" t="n">
        <x:v>46202</x:v>
      </x:c>
      <x:c r="I285" t="str">
        <x:v>6개 월차 만근 소급</x:v>
      </x:c>
      <x:c r="J285" s="58" t="n">
        <x:v>46202</x:v>
      </x:c>
    </x:row>
    <x:row r="286">
      <x:c r="A286" t="str">
        <x:v>1b0bda03-c325-40d1-bc06-5d7db1d0b2d5</x:v>
      </x:c>
      <x:c r="B286" t="str">
        <x:v>박철홍정형외과</x:v>
      </x:c>
      <x:c r="C286" t="str">
        <x:v>조현준</x:v>
      </x:c>
      <x:c r="D286" t="str">
        <x:v>monthly</x:v>
      </x:c>
      <x:c r="E286" t="str">
        <x:v>2024-12</x:v>
      </x:c>
      <x:c r="F286" s="56" t="n">
        <x:v>1</x:v>
      </x:c>
      <x:c r="G286" s="57" t="n">
        <x:v>2024</x:v>
      </x:c>
      <x:c r="H286" s="47" t="n">
        <x:v>46202</x:v>
      </x:c>
      <x:c r="I286" t="str">
        <x:v>7개 월차 만근 소급</x:v>
      </x:c>
      <x:c r="J286" s="58" t="n">
        <x:v>46202</x:v>
      </x:c>
    </x:row>
    <x:row r="287">
      <x:c r="A287" t="str">
        <x:v>1b0bda03-c325-40d1-bc06-5d7db1d0b2d5</x:v>
      </x:c>
      <x:c r="B287" t="str">
        <x:v>박철홍정형외과</x:v>
      </x:c>
      <x:c r="C287" t="str">
        <x:v>조현준</x:v>
      </x:c>
      <x:c r="D287" t="str">
        <x:v>monthly</x:v>
      </x:c>
      <x:c r="E287" t="str">
        <x:v>2025-01</x:v>
      </x:c>
      <x:c r="F287" s="56" t="n">
        <x:v>1</x:v>
      </x:c>
      <x:c r="G287" s="57" t="n">
        <x:v>2025</x:v>
      </x:c>
      <x:c r="H287" s="47" t="n">
        <x:v>46202</x:v>
      </x:c>
      <x:c r="I287" t="str">
        <x:v>8개 월차 만근 소급</x:v>
      </x:c>
      <x:c r="J287" s="58" t="n">
        <x:v>46202</x:v>
      </x:c>
    </x:row>
    <x:row r="288">
      <x:c r="A288" t="str">
        <x:v>1b0bda03-c325-40d1-bc06-5d7db1d0b2d5</x:v>
      </x:c>
      <x:c r="B288" t="str">
        <x:v>박철홍정형외과</x:v>
      </x:c>
      <x:c r="C288" t="str">
        <x:v>조현준</x:v>
      </x:c>
      <x:c r="D288" t="str">
        <x:v>monthly</x:v>
      </x:c>
      <x:c r="E288" t="str">
        <x:v>2025-02</x:v>
      </x:c>
      <x:c r="F288" s="56" t="n">
        <x:v>1</x:v>
      </x:c>
      <x:c r="G288" s="57" t="n">
        <x:v>2025</x:v>
      </x:c>
      <x:c r="H288" s="47" t="n">
        <x:v>46202</x:v>
      </x:c>
      <x:c r="I288" t="str">
        <x:v>9개 월차 만근 소급</x:v>
      </x:c>
      <x:c r="J288" s="58" t="n">
        <x:v>46202</x:v>
      </x:c>
    </x:row>
    <x:row r="289">
      <x:c r="A289" t="str">
        <x:v>1b0bda03-c325-40d1-bc06-5d7db1d0b2d5</x:v>
      </x:c>
      <x:c r="B289" t="str">
        <x:v>박철홍정형외과</x:v>
      </x:c>
      <x:c r="C289" t="str">
        <x:v>조현준</x:v>
      </x:c>
      <x:c r="D289" t="str">
        <x:v>monthly</x:v>
      </x:c>
      <x:c r="E289" t="str">
        <x:v>2025-03</x:v>
      </x:c>
      <x:c r="F289" s="56" t="n">
        <x:v>1</x:v>
      </x:c>
      <x:c r="G289" s="57" t="n">
        <x:v>2025</x:v>
      </x:c>
      <x:c r="H289" s="47" t="n">
        <x:v>46202</x:v>
      </x:c>
      <x:c r="I289" t="str">
        <x:v>10개 월차 만근 소급</x:v>
      </x:c>
      <x:c r="J289" s="58" t="n">
        <x:v>46202</x:v>
      </x:c>
    </x:row>
    <x:row r="290">
      <x:c r="A290" t="str">
        <x:v>1b0bda03-c325-40d1-bc06-5d7db1d0b2d5</x:v>
      </x:c>
      <x:c r="B290" t="str">
        <x:v>박철홍정형외과</x:v>
      </x:c>
      <x:c r="C290" t="str">
        <x:v>조현준</x:v>
      </x:c>
      <x:c r="D290" t="str">
        <x:v>monthly</x:v>
      </x:c>
      <x:c r="E290" t="str">
        <x:v>2025-04</x:v>
      </x:c>
      <x:c r="F290" s="56" t="n">
        <x:v>1</x:v>
      </x:c>
      <x:c r="G290" s="57" t="n">
        <x:v>2025</x:v>
      </x:c>
      <x:c r="H290" s="47" t="n">
        <x:v>46202</x:v>
      </x:c>
      <x:c r="I290" t="str">
        <x:v>11개 월차 만근 소급</x:v>
      </x:c>
      <x:c r="J290" s="58" t="n">
        <x:v>46202</x:v>
      </x:c>
    </x:row>
    <x:row r="291">
      <x:c r="A291" t="str">
        <x:v>1b0bda03-c325-40d1-bc06-5d7db1d0b2d5</x:v>
      </x:c>
      <x:c r="B291" t="str">
        <x:v>박철홍정형외과</x:v>
      </x:c>
      <x:c r="C291" t="str">
        <x:v>조현준</x:v>
      </x:c>
      <x:c r="D291" t="str">
        <x:v>annual</x:v>
      </x:c>
      <x:c r="E291" t="str">
        <x:v>annual:1</x:v>
      </x:c>
      <x:c r="F291" s="56" t="n">
        <x:v>15</x:v>
      </x:c>
      <x:c r="G291" s="57" t="n">
        <x:v>2026</x:v>
      </x:c>
      <x:c r="H291" s="47" t="n">
        <x:v>45811</x:v>
      </x:c>
      <x:c r="I291" t="str">
        <x:v>만 1년차 연차 15일 자동부여</x:v>
      </x:c>
      <x:c r="J291" s="58" t="n">
        <x:v>45811</x:v>
      </x:c>
    </x:row>
    <x:row r="292">
      <x:c r="A292" t="str">
        <x:v>1b0bda03-c325-40d1-bc06-5d7db1d0b2d5</x:v>
      </x:c>
      <x:c r="B292" t="str">
        <x:v>박철홍정형외과</x:v>
      </x:c>
      <x:c r="C292" t="str">
        <x:v>조현준</x:v>
      </x:c>
      <x:c r="D292" t="str">
        <x:v>annual</x:v>
      </x:c>
      <x:c r="E292" t="str">
        <x:v>annual:2</x:v>
      </x:c>
      <x:c r="F292" s="56" t="n">
        <x:v>15</x:v>
      </x:c>
      <x:c r="G292" s="57" t="n">
        <x:v>2026</x:v>
      </x:c>
      <x:c r="H292" s="47" t="n">
        <x:v>46176</x:v>
      </x:c>
      <x:c r="I292" t="str">
        <x:v>만 2년차 연차 15일 자동부여</x:v>
      </x:c>
      <x:c r="J292" s="58" t="n">
        <x:v>46176</x:v>
      </x:c>
    </x:row>
    <x:row r="293">
      <x:c r="A293" t="str">
        <x:v>15233c63-f612-43ac-acbb-68ee58937f4c</x:v>
      </x:c>
      <x:c r="B293" t="str">
        <x:v>박철홍정형외과</x:v>
      </x:c>
      <x:c r="C293" t="str">
        <x:v>지민수</x:v>
      </x:c>
      <x:c r="D293" t="str">
        <x:v>monthly</x:v>
      </x:c>
      <x:c r="E293" t="str">
        <x:v>2025-09</x:v>
      </x:c>
      <x:c r="F293" s="56" t="n">
        <x:v>1</x:v>
      </x:c>
      <x:c r="G293" s="57" t="n">
        <x:v>2026</x:v>
      </x:c>
      <x:c r="H293" s="47" t="n">
        <x:v>45931</x:v>
      </x:c>
      <x:c r="I293" t="str">
        <x:v>1개월차 만근 +1일</x:v>
      </x:c>
      <x:c r="J293" s="58" t="n">
        <x:v>45931</x:v>
      </x:c>
    </x:row>
    <x:row r="294">
      <x:c r="A294" t="str">
        <x:v>15233c63-f612-43ac-acbb-68ee58937f4c</x:v>
      </x:c>
      <x:c r="B294" t="str">
        <x:v>박철홍정형외과</x:v>
      </x:c>
      <x:c r="C294" t="str">
        <x:v>지민수</x:v>
      </x:c>
      <x:c r="D294" t="str">
        <x:v>monthly</x:v>
      </x:c>
      <x:c r="E294" t="str">
        <x:v>2025-10</x:v>
      </x:c>
      <x:c r="F294" s="56" t="n">
        <x:v>1</x:v>
      </x:c>
      <x:c r="G294" s="57" t="n">
        <x:v>2026</x:v>
      </x:c>
      <x:c r="H294" s="47" t="n">
        <x:v>45962</x:v>
      </x:c>
      <x:c r="I294" t="str">
        <x:v>2개월차 만근 +1일</x:v>
      </x:c>
      <x:c r="J294" s="58" t="n">
        <x:v>45962</x:v>
      </x:c>
    </x:row>
    <x:row r="295">
      <x:c r="A295" t="str">
        <x:v>15233c63-f612-43ac-acbb-68ee58937f4c</x:v>
      </x:c>
      <x:c r="B295" t="str">
        <x:v>박철홍정형외과</x:v>
      </x:c>
      <x:c r="C295" t="str">
        <x:v>지민수</x:v>
      </x:c>
      <x:c r="D295" t="str">
        <x:v>monthly</x:v>
      </x:c>
      <x:c r="E295" t="str">
        <x:v>2025-11</x:v>
      </x:c>
      <x:c r="F295" s="56" t="n">
        <x:v>1</x:v>
      </x:c>
      <x:c r="G295" s="57" t="n">
        <x:v>2026</x:v>
      </x:c>
      <x:c r="H295" s="47" t="n">
        <x:v>45992</x:v>
      </x:c>
      <x:c r="I295" t="str">
        <x:v>3개월차 만근 +1일</x:v>
      </x:c>
      <x:c r="J295" s="58" t="n">
        <x:v>45992</x:v>
      </x:c>
    </x:row>
    <x:row r="296">
      <x:c r="A296" t="str">
        <x:v>15233c63-f612-43ac-acbb-68ee58937f4c</x:v>
      </x:c>
      <x:c r="B296" t="str">
        <x:v>박철홍정형외과</x:v>
      </x:c>
      <x:c r="C296" t="str">
        <x:v>지민수</x:v>
      </x:c>
      <x:c r="D296" t="str">
        <x:v>monthly</x:v>
      </x:c>
      <x:c r="E296" t="str">
        <x:v>2025-12</x:v>
      </x:c>
      <x:c r="F296" s="56" t="n">
        <x:v>1</x:v>
      </x:c>
      <x:c r="G296" s="57" t="n">
        <x:v>2026</x:v>
      </x:c>
      <x:c r="H296" s="47" t="n">
        <x:v>46023</x:v>
      </x:c>
      <x:c r="I296" t="str">
        <x:v>4개월차 만근 +1일</x:v>
      </x:c>
      <x:c r="J296" s="58" t="n">
        <x:v>46023</x:v>
      </x:c>
    </x:row>
    <x:row r="297">
      <x:c r="A297" t="str">
        <x:v>15233c63-f612-43ac-acbb-68ee58937f4c</x:v>
      </x:c>
      <x:c r="B297" t="str">
        <x:v>박철홍정형외과</x:v>
      </x:c>
      <x:c r="C297" t="str">
        <x:v>지민수</x:v>
      </x:c>
      <x:c r="D297" t="str">
        <x:v>monthly</x:v>
      </x:c>
      <x:c r="E297" t="str">
        <x:v>2026-01</x:v>
      </x:c>
      <x:c r="F297" s="56" t="n">
        <x:v>1</x:v>
      </x:c>
      <x:c r="G297" s="57" t="n">
        <x:v>2026</x:v>
      </x:c>
      <x:c r="H297" s="47" t="n">
        <x:v>46054</x:v>
      </x:c>
      <x:c r="I297" t="str">
        <x:v>5개월차 만근 +1일</x:v>
      </x:c>
      <x:c r="J297" s="58" t="n">
        <x:v>46054</x:v>
      </x:c>
    </x:row>
    <x:row r="298">
      <x:c r="A298" t="str">
        <x:v>15233c63-f612-43ac-acbb-68ee58937f4c</x:v>
      </x:c>
      <x:c r="B298" t="str">
        <x:v>박철홍정형외과</x:v>
      </x:c>
      <x:c r="C298" t="str">
        <x:v>지민수</x:v>
      </x:c>
      <x:c r="D298" t="str">
        <x:v>monthly</x:v>
      </x:c>
      <x:c r="E298" t="str">
        <x:v>2026-02</x:v>
      </x:c>
      <x:c r="F298" s="56" t="n">
        <x:v>1</x:v>
      </x:c>
      <x:c r="G298" s="57" t="n">
        <x:v>2026</x:v>
      </x:c>
      <x:c r="H298" s="47" t="n">
        <x:v>46082</x:v>
      </x:c>
      <x:c r="I298" t="str">
        <x:v>6개월차 만근 +1일</x:v>
      </x:c>
      <x:c r="J298" s="58" t="n">
        <x:v>46082</x:v>
      </x:c>
    </x:row>
    <x:row r="299">
      <x:c r="A299" t="str">
        <x:v>15233c63-f612-43ac-acbb-68ee58937f4c</x:v>
      </x:c>
      <x:c r="B299" t="str">
        <x:v>박철홍정형외과</x:v>
      </x:c>
      <x:c r="C299" t="str">
        <x:v>지민수</x:v>
      </x:c>
      <x:c r="D299" t="str">
        <x:v>monthly</x:v>
      </x:c>
      <x:c r="E299" t="str">
        <x:v>2026-03</x:v>
      </x:c>
      <x:c r="F299" s="56" t="n">
        <x:v>1</x:v>
      </x:c>
      <x:c r="G299" s="57" t="n">
        <x:v>2026</x:v>
      </x:c>
      <x:c r="H299" s="47" t="n">
        <x:v>46113</x:v>
      </x:c>
      <x:c r="I299" t="str">
        <x:v>7개월차 만근 +1일</x:v>
      </x:c>
      <x:c r="J299" s="58" t="n">
        <x:v>46113</x:v>
      </x:c>
    </x:row>
    <x:row r="300">
      <x:c r="A300" t="str">
        <x:v>15233c63-f612-43ac-acbb-68ee58937f4c</x:v>
      </x:c>
      <x:c r="B300" t="str">
        <x:v>박철홍정형외과</x:v>
      </x:c>
      <x:c r="C300" t="str">
        <x:v>지민수</x:v>
      </x:c>
      <x:c r="D300" t="str">
        <x:v>monthly</x:v>
      </x:c>
      <x:c r="E300" t="str">
        <x:v>2026-04</x:v>
      </x:c>
      <x:c r="F300" s="56" t="n">
        <x:v>1</x:v>
      </x:c>
      <x:c r="G300" s="57" t="n">
        <x:v>2026</x:v>
      </x:c>
      <x:c r="H300" s="47" t="n">
        <x:v>46143</x:v>
      </x:c>
      <x:c r="I300" t="str">
        <x:v>8개월차 만근 +1일</x:v>
      </x:c>
      <x:c r="J300" s="58" t="n">
        <x:v>46143</x:v>
      </x:c>
    </x:row>
    <x:row r="301">
      <x:c r="A301" t="str">
        <x:v>15233c63-f612-43ac-acbb-68ee58937f4c</x:v>
      </x:c>
      <x:c r="B301" t="str">
        <x:v>박철홍정형외과</x:v>
      </x:c>
      <x:c r="C301" t="str">
        <x:v>지민수</x:v>
      </x:c>
      <x:c r="D301" t="str">
        <x:v>monthly</x:v>
      </x:c>
      <x:c r="E301" t="str">
        <x:v>2026-05</x:v>
      </x:c>
      <x:c r="F301" s="56" t="n">
        <x:v>1</x:v>
      </x:c>
      <x:c r="G301" s="57" t="n">
        <x:v>2026</x:v>
      </x:c>
      <x:c r="H301" s="47" t="n">
        <x:v>46174</x:v>
      </x:c>
      <x:c r="I301" t="str">
        <x:v>9개월차 만근 +1일</x:v>
      </x:c>
      <x:c r="J301" s="58" t="n">
        <x:v>46174</x:v>
      </x:c>
    </x:row>
    <x:row r="302">
      <x:c r="A302" t="str">
        <x:v>15233c63-f612-43ac-acbb-68ee58937f4c</x:v>
      </x:c>
      <x:c r="B302" t="str">
        <x:v>박철홍정형외과</x:v>
      </x:c>
      <x:c r="C302" t="str">
        <x:v>지민수</x:v>
      </x:c>
      <x:c r="D302" t="str">
        <x:v>monthly</x:v>
      </x:c>
      <x:c r="E302" t="str">
        <x:v>2026-06</x:v>
      </x:c>
      <x:c r="F302" s="56" t="n">
        <x:v>1</x:v>
      </x:c>
      <x:c r="G302" s="57" t="n">
        <x:v>2026</x:v>
      </x:c>
      <x:c r="H302" s="47" t="n">
        <x:v>46218</x:v>
      </x:c>
      <x:c r="I302" t="str">
        <x:v>10개월차 만근 +1일(백필)</x:v>
      </x:c>
      <x:c r="J302" s="58" t="n">
        <x:v>46218</x:v>
      </x:c>
    </x:row>
    <x:row r="303">
      <x:c r="A303" t="str">
        <x:v>604f9fcb-bab4-43f5-9fa5-137315d57050</x:v>
      </x:c>
      <x:c r="B303" t="str">
        <x:v>박철홍정형외과</x:v>
      </x:c>
      <x:c r="C303" t="str">
        <x:v>진보경</x:v>
      </x:c>
      <x:c r="D303" t="str">
        <x:v>monthly</x:v>
      </x:c>
      <x:c r="E303" t="str">
        <x:v>2025-05</x:v>
      </x:c>
      <x:c r="F303" s="56" t="n">
        <x:v>1</x:v>
      </x:c>
      <x:c r="G303" s="57" t="n">
        <x:v>2025</x:v>
      </x:c>
      <x:c r="H303" s="47" t="n">
        <x:v>46202</x:v>
      </x:c>
      <x:c r="I303" t="str">
        <x:v>1개 월차 만근 소급</x:v>
      </x:c>
      <x:c r="J303" s="58" t="n">
        <x:v>46202</x:v>
      </x:c>
    </x:row>
    <x:row r="304">
      <x:c r="A304" t="str">
        <x:v>604f9fcb-bab4-43f5-9fa5-137315d57050</x:v>
      </x:c>
      <x:c r="B304" t="str">
        <x:v>박철홍정형외과</x:v>
      </x:c>
      <x:c r="C304" t="str">
        <x:v>진보경</x:v>
      </x:c>
      <x:c r="D304" t="str">
        <x:v>monthly</x:v>
      </x:c>
      <x:c r="E304" t="str">
        <x:v>2025-06</x:v>
      </x:c>
      <x:c r="F304" s="56" t="n">
        <x:v>1</x:v>
      </x:c>
      <x:c r="G304" s="57" t="n">
        <x:v>2025</x:v>
      </x:c>
      <x:c r="H304" s="47" t="n">
        <x:v>46202</x:v>
      </x:c>
      <x:c r="I304" t="str">
        <x:v>2개 월차 만근 소급</x:v>
      </x:c>
      <x:c r="J304" s="58" t="n">
        <x:v>46202</x:v>
      </x:c>
    </x:row>
    <x:row r="305">
      <x:c r="A305" t="str">
        <x:v>604f9fcb-bab4-43f5-9fa5-137315d57050</x:v>
      </x:c>
      <x:c r="B305" t="str">
        <x:v>박철홍정형외과</x:v>
      </x:c>
      <x:c r="C305" t="str">
        <x:v>진보경</x:v>
      </x:c>
      <x:c r="D305" t="str">
        <x:v>monthly</x:v>
      </x:c>
      <x:c r="E305" t="str">
        <x:v>2025-07</x:v>
      </x:c>
      <x:c r="F305" s="56" t="n">
        <x:v>1</x:v>
      </x:c>
      <x:c r="G305" s="57" t="n">
        <x:v>2025</x:v>
      </x:c>
      <x:c r="H305" s="47" t="n">
        <x:v>46202</x:v>
      </x:c>
      <x:c r="I305" t="str">
        <x:v>3개 월차 만근 소급</x:v>
      </x:c>
      <x:c r="J305" s="58" t="n">
        <x:v>46202</x:v>
      </x:c>
    </x:row>
    <x:row r="306">
      <x:c r="A306" t="str">
        <x:v>604f9fcb-bab4-43f5-9fa5-137315d57050</x:v>
      </x:c>
      <x:c r="B306" t="str">
        <x:v>박철홍정형외과</x:v>
      </x:c>
      <x:c r="C306" t="str">
        <x:v>진보경</x:v>
      </x:c>
      <x:c r="D306" t="str">
        <x:v>monthly</x:v>
      </x:c>
      <x:c r="E306" t="str">
        <x:v>2025-08</x:v>
      </x:c>
      <x:c r="F306" s="56" t="n">
        <x:v>1</x:v>
      </x:c>
      <x:c r="G306" s="57" t="n">
        <x:v>2025</x:v>
      </x:c>
      <x:c r="H306" s="47" t="n">
        <x:v>46202</x:v>
      </x:c>
      <x:c r="I306" t="str">
        <x:v>4개 월차 만근 소급</x:v>
      </x:c>
      <x:c r="J306" s="58" t="n">
        <x:v>46202</x:v>
      </x:c>
    </x:row>
    <x:row r="307">
      <x:c r="A307" t="str">
        <x:v>604f9fcb-bab4-43f5-9fa5-137315d57050</x:v>
      </x:c>
      <x:c r="B307" t="str">
        <x:v>박철홍정형외과</x:v>
      </x:c>
      <x:c r="C307" t="str">
        <x:v>진보경</x:v>
      </x:c>
      <x:c r="D307" t="str">
        <x:v>monthly</x:v>
      </x:c>
      <x:c r="E307" t="str">
        <x:v>2025-09</x:v>
      </x:c>
      <x:c r="F307" s="56" t="n">
        <x:v>1</x:v>
      </x:c>
      <x:c r="G307" s="57" t="n">
        <x:v>2025</x:v>
      </x:c>
      <x:c r="H307" s="47" t="n">
        <x:v>46202</x:v>
      </x:c>
      <x:c r="I307" t="str">
        <x:v>5개 월차 만근 소급</x:v>
      </x:c>
      <x:c r="J307" s="58" t="n">
        <x:v>46202</x:v>
      </x:c>
    </x:row>
    <x:row r="308">
      <x:c r="A308" t="str">
        <x:v>604f9fcb-bab4-43f5-9fa5-137315d57050</x:v>
      </x:c>
      <x:c r="B308" t="str">
        <x:v>박철홍정형외과</x:v>
      </x:c>
      <x:c r="C308" t="str">
        <x:v>진보경</x:v>
      </x:c>
      <x:c r="D308" t="str">
        <x:v>monthly</x:v>
      </x:c>
      <x:c r="E308" t="str">
        <x:v>2025-10</x:v>
      </x:c>
      <x:c r="F308" s="56" t="n">
        <x:v>1</x:v>
      </x:c>
      <x:c r="G308" s="57" t="n">
        <x:v>2025</x:v>
      </x:c>
      <x:c r="H308" s="47" t="n">
        <x:v>46202</x:v>
      </x:c>
      <x:c r="I308" t="str">
        <x:v>6개 월차 만근 소급</x:v>
      </x:c>
      <x:c r="J308" s="58" t="n">
        <x:v>46202</x:v>
      </x:c>
    </x:row>
    <x:row r="309">
      <x:c r="A309" t="str">
        <x:v>604f9fcb-bab4-43f5-9fa5-137315d57050</x:v>
      </x:c>
      <x:c r="B309" t="str">
        <x:v>박철홍정형외과</x:v>
      </x:c>
      <x:c r="C309" t="str">
        <x:v>진보경</x:v>
      </x:c>
      <x:c r="D309" t="str">
        <x:v>monthly</x:v>
      </x:c>
      <x:c r="E309" t="str">
        <x:v>2025-11</x:v>
      </x:c>
      <x:c r="F309" s="56" t="n">
        <x:v>1</x:v>
      </x:c>
      <x:c r="G309" s="57" t="n">
        <x:v>2025</x:v>
      </x:c>
      <x:c r="H309" s="47" t="n">
        <x:v>46202</x:v>
      </x:c>
      <x:c r="I309" t="str">
        <x:v>7개 월차 만근 소급</x:v>
      </x:c>
      <x:c r="J309" s="58" t="n">
        <x:v>46202</x:v>
      </x:c>
    </x:row>
    <x:row r="310">
      <x:c r="A310" t="str">
        <x:v>604f9fcb-bab4-43f5-9fa5-137315d57050</x:v>
      </x:c>
      <x:c r="B310" t="str">
        <x:v>박철홍정형외과</x:v>
      </x:c>
      <x:c r="C310" t="str">
        <x:v>진보경</x:v>
      </x:c>
      <x:c r="D310" t="str">
        <x:v>monthly</x:v>
      </x:c>
      <x:c r="E310" t="str">
        <x:v>2025-12</x:v>
      </x:c>
      <x:c r="F310" s="56" t="n">
        <x:v>1</x:v>
      </x:c>
      <x:c r="G310" s="57" t="n">
        <x:v>2025</x:v>
      </x:c>
      <x:c r="H310" s="47" t="n">
        <x:v>46202</x:v>
      </x:c>
      <x:c r="I310" t="str">
        <x:v>8개 월차 만근 소급</x:v>
      </x:c>
      <x:c r="J310" s="58" t="n">
        <x:v>46202</x:v>
      </x:c>
    </x:row>
    <x:row r="311">
      <x:c r="A311" t="str">
        <x:v>604f9fcb-bab4-43f5-9fa5-137315d57050</x:v>
      </x:c>
      <x:c r="B311" t="str">
        <x:v>박철홍정형외과</x:v>
      </x:c>
      <x:c r="C311" t="str">
        <x:v>진보경</x:v>
      </x:c>
      <x:c r="D311" t="str">
        <x:v>annual</x:v>
      </x:c>
      <x:c r="E311" t="str">
        <x:v>annual:1</x:v>
      </x:c>
      <x:c r="F311" s="56" t="n">
        <x:v>15</x:v>
      </x:c>
      <x:c r="G311" s="57" t="n">
        <x:v>2026</x:v>
      </x:c>
      <x:c r="H311" s="47" t="n">
        <x:v>46143</x:v>
      </x:c>
      <x:c r="I311" t="str">
        <x:v>만 1년차 연차 15일 자동부여</x:v>
      </x:c>
      <x:c r="J311" s="58" t="n">
        <x:v>46143</x:v>
      </x:c>
    </x:row>
    <x:row r="312">
      <x:c r="A312" t="str">
        <x:v>604f9fcb-bab4-43f5-9fa5-137315d57050</x:v>
      </x:c>
      <x:c r="B312" t="str">
        <x:v>박철홍정형외과</x:v>
      </x:c>
      <x:c r="C312" t="str">
        <x:v>진보경</x:v>
      </x:c>
      <x:c r="D312" t="str">
        <x:v>monthly</x:v>
      </x:c>
      <x:c r="E312" t="str">
        <x:v>2026-01</x:v>
      </x:c>
      <x:c r="F312" s="56" t="n">
        <x:v>1</x:v>
      </x:c>
      <x:c r="G312" s="57" t="n">
        <x:v>2026</x:v>
      </x:c>
      <x:c r="H312" s="47" t="n">
        <x:v>46202</x:v>
      </x:c>
      <x:c r="I312" t="str">
        <x:v>9개 월차 만근 소급</x:v>
      </x:c>
      <x:c r="J312" s="58" t="n">
        <x:v>46202</x:v>
      </x:c>
    </x:row>
    <x:row r="313">
      <x:c r="A313" t="str">
        <x:v>604f9fcb-bab4-43f5-9fa5-137315d57050</x:v>
      </x:c>
      <x:c r="B313" t="str">
        <x:v>박철홍정형외과</x:v>
      </x:c>
      <x:c r="C313" t="str">
        <x:v>진보경</x:v>
      </x:c>
      <x:c r="D313" t="str">
        <x:v>monthly</x:v>
      </x:c>
      <x:c r="E313" t="str">
        <x:v>2026-02</x:v>
      </x:c>
      <x:c r="F313" s="56" t="n">
        <x:v>1</x:v>
      </x:c>
      <x:c r="G313" s="57" t="n">
        <x:v>2026</x:v>
      </x:c>
      <x:c r="H313" s="47" t="n">
        <x:v>46202</x:v>
      </x:c>
      <x:c r="I313" t="str">
        <x:v>10개 월차 만근 소급</x:v>
      </x:c>
      <x:c r="J313" s="58" t="n">
        <x:v>46202</x:v>
      </x:c>
    </x:row>
    <x:row r="314">
      <x:c r="A314" t="str">
        <x:v>604f9fcb-bab4-43f5-9fa5-137315d57050</x:v>
      </x:c>
      <x:c r="B314" t="str">
        <x:v>박철홍정형외과</x:v>
      </x:c>
      <x:c r="C314" t="str">
        <x:v>진보경</x:v>
      </x:c>
      <x:c r="D314" t="str">
        <x:v>monthly</x:v>
      </x:c>
      <x:c r="E314" t="str">
        <x:v>2026-03</x:v>
      </x:c>
      <x:c r="F314" s="56" t="n">
        <x:v>1</x:v>
      </x:c>
      <x:c r="G314" s="57" t="n">
        <x:v>2026</x:v>
      </x:c>
      <x:c r="H314" s="47" t="n">
        <x:v>46202</x:v>
      </x:c>
      <x:c r="I314" t="str">
        <x:v>11개 월차 만근 소급</x:v>
      </x:c>
      <x:c r="J314" s="58" t="n">
        <x:v>46202</x:v>
      </x:c>
    </x:row>
    <x:row r="315">
      <x:c r="A315" t="str">
        <x:v>ca0f216a-d22c-4036-8a7a-17f9f08889dd</x:v>
      </x:c>
      <x:c r="B315" t="str">
        <x:v>박철홍정형외과</x:v>
      </x:c>
      <x:c r="C315" t="str">
        <x:v>최민정</x:v>
      </x:c>
      <x:c r="D315" t="str">
        <x:v>monthly</x:v>
      </x:c>
      <x:c r="E315" t="str">
        <x:v>2024-12</x:v>
      </x:c>
      <x:c r="F315" s="56" t="n">
        <x:v>1</x:v>
      </x:c>
      <x:c r="G315" s="57" t="n">
        <x:v>2024</x:v>
      </x:c>
      <x:c r="H315" s="47" t="n">
        <x:v>46202</x:v>
      </x:c>
      <x:c r="I315" t="str">
        <x:v>1개 월차 만근 소급</x:v>
      </x:c>
      <x:c r="J315" s="58" t="n">
        <x:v>46202</x:v>
      </x:c>
    </x:row>
    <x:row r="316">
      <x:c r="A316" t="str">
        <x:v>ca0f216a-d22c-4036-8a7a-17f9f08889dd</x:v>
      </x:c>
      <x:c r="B316" t="str">
        <x:v>박철홍정형외과</x:v>
      </x:c>
      <x:c r="C316" t="str">
        <x:v>최민정</x:v>
      </x:c>
      <x:c r="D316" t="str">
        <x:v>monthly</x:v>
      </x:c>
      <x:c r="E316" t="str">
        <x:v>2025-01</x:v>
      </x:c>
      <x:c r="F316" s="56" t="n">
        <x:v>1</x:v>
      </x:c>
      <x:c r="G316" s="57" t="n">
        <x:v>2025</x:v>
      </x:c>
      <x:c r="H316" s="47" t="n">
        <x:v>46202</x:v>
      </x:c>
      <x:c r="I316" t="str">
        <x:v>2개 월차 만근 소급</x:v>
      </x:c>
      <x:c r="J316" s="58" t="n">
        <x:v>46202</x:v>
      </x:c>
    </x:row>
    <x:row r="317">
      <x:c r="A317" t="str">
        <x:v>ca0f216a-d22c-4036-8a7a-17f9f08889dd</x:v>
      </x:c>
      <x:c r="B317" t="str">
        <x:v>박철홍정형외과</x:v>
      </x:c>
      <x:c r="C317" t="str">
        <x:v>최민정</x:v>
      </x:c>
      <x:c r="D317" t="str">
        <x:v>monthly</x:v>
      </x:c>
      <x:c r="E317" t="str">
        <x:v>2025-02</x:v>
      </x:c>
      <x:c r="F317" s="56" t="n">
        <x:v>1</x:v>
      </x:c>
      <x:c r="G317" s="57" t="n">
        <x:v>2025</x:v>
      </x:c>
      <x:c r="H317" s="47" t="n">
        <x:v>46202</x:v>
      </x:c>
      <x:c r="I317" t="str">
        <x:v>3개 월차 만근 소급</x:v>
      </x:c>
      <x:c r="J317" s="58" t="n">
        <x:v>46202</x:v>
      </x:c>
    </x:row>
    <x:row r="318">
      <x:c r="A318" t="str">
        <x:v>ca0f216a-d22c-4036-8a7a-17f9f08889dd</x:v>
      </x:c>
      <x:c r="B318" t="str">
        <x:v>박철홍정형외과</x:v>
      </x:c>
      <x:c r="C318" t="str">
        <x:v>최민정</x:v>
      </x:c>
      <x:c r="D318" t="str">
        <x:v>monthly</x:v>
      </x:c>
      <x:c r="E318" t="str">
        <x:v>2025-03</x:v>
      </x:c>
      <x:c r="F318" s="56" t="n">
        <x:v>1</x:v>
      </x:c>
      <x:c r="G318" s="57" t="n">
        <x:v>2025</x:v>
      </x:c>
      <x:c r="H318" s="47" t="n">
        <x:v>46202</x:v>
      </x:c>
      <x:c r="I318" t="str">
        <x:v>4개 월차 만근 소급</x:v>
      </x:c>
      <x:c r="J318" s="58" t="n">
        <x:v>46202</x:v>
      </x:c>
    </x:row>
    <x:row r="319">
      <x:c r="A319" t="str">
        <x:v>ca0f216a-d22c-4036-8a7a-17f9f08889dd</x:v>
      </x:c>
      <x:c r="B319" t="str">
        <x:v>박철홍정형외과</x:v>
      </x:c>
      <x:c r="C319" t="str">
        <x:v>최민정</x:v>
      </x:c>
      <x:c r="D319" t="str">
        <x:v>monthly</x:v>
      </x:c>
      <x:c r="E319" t="str">
        <x:v>2025-04</x:v>
      </x:c>
      <x:c r="F319" s="56" t="n">
        <x:v>1</x:v>
      </x:c>
      <x:c r="G319" s="57" t="n">
        <x:v>2025</x:v>
      </x:c>
      <x:c r="H319" s="47" t="n">
        <x:v>46202</x:v>
      </x:c>
      <x:c r="I319" t="str">
        <x:v>5개 월차 만근 소급</x:v>
      </x:c>
      <x:c r="J319" s="58" t="n">
        <x:v>46202</x:v>
      </x:c>
    </x:row>
    <x:row r="320">
      <x:c r="A320" t="str">
        <x:v>ca0f216a-d22c-4036-8a7a-17f9f08889dd</x:v>
      </x:c>
      <x:c r="B320" t="str">
        <x:v>박철홍정형외과</x:v>
      </x:c>
      <x:c r="C320" t="str">
        <x:v>최민정</x:v>
      </x:c>
      <x:c r="D320" t="str">
        <x:v>monthly</x:v>
      </x:c>
      <x:c r="E320" t="str">
        <x:v>2025-05</x:v>
      </x:c>
      <x:c r="F320" s="56" t="n">
        <x:v>1</x:v>
      </x:c>
      <x:c r="G320" s="57" t="n">
        <x:v>2025</x:v>
      </x:c>
      <x:c r="H320" s="47" t="n">
        <x:v>46202</x:v>
      </x:c>
      <x:c r="I320" t="str">
        <x:v>6개 월차 만근 소급</x:v>
      </x:c>
      <x:c r="J320" s="58" t="n">
        <x:v>46202</x:v>
      </x:c>
    </x:row>
    <x:row r="321">
      <x:c r="A321" t="str">
        <x:v>ca0f216a-d22c-4036-8a7a-17f9f08889dd</x:v>
      </x:c>
      <x:c r="B321" t="str">
        <x:v>박철홍정형외과</x:v>
      </x:c>
      <x:c r="C321" t="str">
        <x:v>최민정</x:v>
      </x:c>
      <x:c r="D321" t="str">
        <x:v>monthly</x:v>
      </x:c>
      <x:c r="E321" t="str">
        <x:v>2025-06</x:v>
      </x:c>
      <x:c r="F321" s="56" t="n">
        <x:v>1</x:v>
      </x:c>
      <x:c r="G321" s="57" t="n">
        <x:v>2025</x:v>
      </x:c>
      <x:c r="H321" s="47" t="n">
        <x:v>46202</x:v>
      </x:c>
      <x:c r="I321" t="str">
        <x:v>7개 월차 만근 소급</x:v>
      </x:c>
      <x:c r="J321" s="58" t="n">
        <x:v>46202</x:v>
      </x:c>
    </x:row>
    <x:row r="322">
      <x:c r="A322" t="str">
        <x:v>ca0f216a-d22c-4036-8a7a-17f9f08889dd</x:v>
      </x:c>
      <x:c r="B322" t="str">
        <x:v>박철홍정형외과</x:v>
      </x:c>
      <x:c r="C322" t="str">
        <x:v>최민정</x:v>
      </x:c>
      <x:c r="D322" t="str">
        <x:v>monthly</x:v>
      </x:c>
      <x:c r="E322" t="str">
        <x:v>2025-07</x:v>
      </x:c>
      <x:c r="F322" s="56" t="n">
        <x:v>1</x:v>
      </x:c>
      <x:c r="G322" s="57" t="n">
        <x:v>2025</x:v>
      </x:c>
      <x:c r="H322" s="47" t="n">
        <x:v>46202</x:v>
      </x:c>
      <x:c r="I322" t="str">
        <x:v>8개 월차 만근 소급</x:v>
      </x:c>
      <x:c r="J322" s="58" t="n">
        <x:v>46202</x:v>
      </x:c>
    </x:row>
    <x:row r="323">
      <x:c r="A323" t="str">
        <x:v>ca0f216a-d22c-4036-8a7a-17f9f08889dd</x:v>
      </x:c>
      <x:c r="B323" t="str">
        <x:v>박철홍정형외과</x:v>
      </x:c>
      <x:c r="C323" t="str">
        <x:v>최민정</x:v>
      </x:c>
      <x:c r="D323" t="str">
        <x:v>monthly</x:v>
      </x:c>
      <x:c r="E323" t="str">
        <x:v>2025-08</x:v>
      </x:c>
      <x:c r="F323" s="56" t="n">
        <x:v>1</x:v>
      </x:c>
      <x:c r="G323" s="57" t="n">
        <x:v>2025</x:v>
      </x:c>
      <x:c r="H323" s="47" t="n">
        <x:v>46202</x:v>
      </x:c>
      <x:c r="I323" t="str">
        <x:v>9개 월차 만근 소급</x:v>
      </x:c>
      <x:c r="J323" s="58" t="n">
        <x:v>46202</x:v>
      </x:c>
    </x:row>
    <x:row r="324">
      <x:c r="A324" t="str">
        <x:v>ca0f216a-d22c-4036-8a7a-17f9f08889dd</x:v>
      </x:c>
      <x:c r="B324" t="str">
        <x:v>박철홍정형외과</x:v>
      </x:c>
      <x:c r="C324" t="str">
        <x:v>최민정</x:v>
      </x:c>
      <x:c r="D324" t="str">
        <x:v>monthly</x:v>
      </x:c>
      <x:c r="E324" t="str">
        <x:v>2025-09</x:v>
      </x:c>
      <x:c r="F324" s="56" t="n">
        <x:v>1</x:v>
      </x:c>
      <x:c r="G324" s="57" t="n">
        <x:v>2025</x:v>
      </x:c>
      <x:c r="H324" s="47" t="n">
        <x:v>46202</x:v>
      </x:c>
      <x:c r="I324" t="str">
        <x:v>10개 월차 만근 소급</x:v>
      </x:c>
      <x:c r="J324" s="58" t="n">
        <x:v>46202</x:v>
      </x:c>
    </x:row>
    <x:row r="325">
      <x:c r="A325" t="str">
        <x:v>ca0f216a-d22c-4036-8a7a-17f9f08889dd</x:v>
      </x:c>
      <x:c r="B325" t="str">
        <x:v>박철홍정형외과</x:v>
      </x:c>
      <x:c r="C325" t="str">
        <x:v>최민정</x:v>
      </x:c>
      <x:c r="D325" t="str">
        <x:v>monthly</x:v>
      </x:c>
      <x:c r="E325" t="str">
        <x:v>2025-10</x:v>
      </x:c>
      <x:c r="F325" s="56" t="n">
        <x:v>1</x:v>
      </x:c>
      <x:c r="G325" s="57" t="n">
        <x:v>2025</x:v>
      </x:c>
      <x:c r="H325" s="47" t="n">
        <x:v>46202</x:v>
      </x:c>
      <x:c r="I325" t="str">
        <x:v>11개 월차 만근 소급</x:v>
      </x:c>
      <x:c r="J325" s="58" t="n">
        <x:v>46202</x:v>
      </x:c>
    </x:row>
    <x:row r="326">
      <x:c r="A326" t="str">
        <x:v>ca0f216a-d22c-4036-8a7a-17f9f08889dd</x:v>
      </x:c>
      <x:c r="B326" t="str">
        <x:v>박철홍정형외과</x:v>
      </x:c>
      <x:c r="C326" t="str">
        <x:v>최민정</x:v>
      </x:c>
      <x:c r="D326" t="str">
        <x:v>annual</x:v>
      </x:c>
      <x:c r="E326" t="str">
        <x:v>annual:1</x:v>
      </x:c>
      <x:c r="F326" s="56" t="n">
        <x:v>15</x:v>
      </x:c>
      <x:c r="G326" s="57" t="n">
        <x:v>2026</x:v>
      </x:c>
      <x:c r="H326" s="47" t="n">
        <x:v>46010</x:v>
      </x:c>
      <x:c r="I326" t="str">
        <x:v>만 1년차 연차 15일 자동부여</x:v>
      </x:c>
      <x:c r="J326" s="58" t="n">
        <x:v>46010</x:v>
      </x:c>
    </x:row>
    <x:row r="327">
      <x:c r="A327" t="str">
        <x:v>5d5c0fdb-766a-449f-8c34-eb75c51e8cd5</x:v>
      </x:c>
      <x:c r="B327" t="str">
        <x:v>박철홍정형외과</x:v>
      </x:c>
      <x:c r="C327" t="str">
        <x:v>최은선</x:v>
      </x:c>
      <x:c r="D327" t="str">
        <x:v>monthly</x:v>
      </x:c>
      <x:c r="E327" t="str">
        <x:v>2026-06</x:v>
      </x:c>
      <x:c r="F327" s="56" t="n">
        <x:v>1</x:v>
      </x:c>
      <x:c r="G327" s="57" t="n">
        <x:v>2026</x:v>
      </x:c>
      <x:c r="H327" s="47" t="n">
        <x:v>46218</x:v>
      </x:c>
      <x:c r="I327" t="str">
        <x:v>1개월차 만근 +1일(백필)</x:v>
      </x:c>
      <x:c r="J327" s="58" t="n">
        <x:v>46218</x:v>
      </x:c>
    </x:row>
    <x:row r="328">
      <x:c r="A328" t="str">
        <x:v>3a9c25d2-2a29-4738-ae0a-b56e200a2990</x:v>
      </x:c>
      <x:c r="B328" t="str">
        <x:v>박철홍정형외과</x:v>
      </x:c>
      <x:c r="C328" t="str">
        <x:v>최찬</x:v>
      </x:c>
      <x:c r="D328" t="str">
        <x:v>monthly</x:v>
      </x:c>
      <x:c r="E328" t="str">
        <x:v>2024-04</x:v>
      </x:c>
      <x:c r="F328" s="56" t="n">
        <x:v>1</x:v>
      </x:c>
      <x:c r="G328" s="57" t="n">
        <x:v>2024</x:v>
      </x:c>
      <x:c r="H328" s="47" t="n">
        <x:v>46202</x:v>
      </x:c>
      <x:c r="I328" t="str">
        <x:v>1개 월차 만근 소급</x:v>
      </x:c>
      <x:c r="J328" s="58" t="n">
        <x:v>46202</x:v>
      </x:c>
    </x:row>
    <x:row r="329">
      <x:c r="A329" t="str">
        <x:v>3a9c25d2-2a29-4738-ae0a-b56e200a2990</x:v>
      </x:c>
      <x:c r="B329" t="str">
        <x:v>박철홍정형외과</x:v>
      </x:c>
      <x:c r="C329" t="str">
        <x:v>최찬</x:v>
      </x:c>
      <x:c r="D329" t="str">
        <x:v>monthly</x:v>
      </x:c>
      <x:c r="E329" t="str">
        <x:v>2024-05</x:v>
      </x:c>
      <x:c r="F329" s="56" t="n">
        <x:v>1</x:v>
      </x:c>
      <x:c r="G329" s="57" t="n">
        <x:v>2024</x:v>
      </x:c>
      <x:c r="H329" s="47" t="n">
        <x:v>46202</x:v>
      </x:c>
      <x:c r="I329" t="str">
        <x:v>2개 월차 만근 소급</x:v>
      </x:c>
      <x:c r="J329" s="58" t="n">
        <x:v>46202</x:v>
      </x:c>
    </x:row>
    <x:row r="330">
      <x:c r="A330" t="str">
        <x:v>3a9c25d2-2a29-4738-ae0a-b56e200a2990</x:v>
      </x:c>
      <x:c r="B330" t="str">
        <x:v>박철홍정형외과</x:v>
      </x:c>
      <x:c r="C330" t="str">
        <x:v>최찬</x:v>
      </x:c>
      <x:c r="D330" t="str">
        <x:v>monthly</x:v>
      </x:c>
      <x:c r="E330" t="str">
        <x:v>2024-06</x:v>
      </x:c>
      <x:c r="F330" s="56" t="n">
        <x:v>1</x:v>
      </x:c>
      <x:c r="G330" s="57" t="n">
        <x:v>2024</x:v>
      </x:c>
      <x:c r="H330" s="47" t="n">
        <x:v>46202</x:v>
      </x:c>
      <x:c r="I330" t="str">
        <x:v>3개 월차 만근 소급</x:v>
      </x:c>
      <x:c r="J330" s="58" t="n">
        <x:v>46202</x:v>
      </x:c>
    </x:row>
    <x:row r="331">
      <x:c r="A331" t="str">
        <x:v>3a9c25d2-2a29-4738-ae0a-b56e200a2990</x:v>
      </x:c>
      <x:c r="B331" t="str">
        <x:v>박철홍정형외과</x:v>
      </x:c>
      <x:c r="C331" t="str">
        <x:v>최찬</x:v>
      </x:c>
      <x:c r="D331" t="str">
        <x:v>monthly</x:v>
      </x:c>
      <x:c r="E331" t="str">
        <x:v>2024-07</x:v>
      </x:c>
      <x:c r="F331" s="56" t="n">
        <x:v>1</x:v>
      </x:c>
      <x:c r="G331" s="57" t="n">
        <x:v>2024</x:v>
      </x:c>
      <x:c r="H331" s="47" t="n">
        <x:v>46202</x:v>
      </x:c>
      <x:c r="I331" t="str">
        <x:v>4개 월차 만근 소급</x:v>
      </x:c>
      <x:c r="J331" s="58" t="n">
        <x:v>46202</x:v>
      </x:c>
    </x:row>
    <x:row r="332">
      <x:c r="A332" t="str">
        <x:v>3a9c25d2-2a29-4738-ae0a-b56e200a2990</x:v>
      </x:c>
      <x:c r="B332" t="str">
        <x:v>박철홍정형외과</x:v>
      </x:c>
      <x:c r="C332" t="str">
        <x:v>최찬</x:v>
      </x:c>
      <x:c r="D332" t="str">
        <x:v>monthly</x:v>
      </x:c>
      <x:c r="E332" t="str">
        <x:v>2024-08</x:v>
      </x:c>
      <x:c r="F332" s="56" t="n">
        <x:v>1</x:v>
      </x:c>
      <x:c r="G332" s="57" t="n">
        <x:v>2024</x:v>
      </x:c>
      <x:c r="H332" s="47" t="n">
        <x:v>46202</x:v>
      </x:c>
      <x:c r="I332" t="str">
        <x:v>5개 월차 만근 소급</x:v>
      </x:c>
      <x:c r="J332" s="58" t="n">
        <x:v>46202</x:v>
      </x:c>
    </x:row>
    <x:row r="333">
      <x:c r="A333" t="str">
        <x:v>3a9c25d2-2a29-4738-ae0a-b56e200a2990</x:v>
      </x:c>
      <x:c r="B333" t="str">
        <x:v>박철홍정형외과</x:v>
      </x:c>
      <x:c r="C333" t="str">
        <x:v>최찬</x:v>
      </x:c>
      <x:c r="D333" t="str">
        <x:v>monthly</x:v>
      </x:c>
      <x:c r="E333" t="str">
        <x:v>2024-09</x:v>
      </x:c>
      <x:c r="F333" s="56" t="n">
        <x:v>1</x:v>
      </x:c>
      <x:c r="G333" s="57" t="n">
        <x:v>2024</x:v>
      </x:c>
      <x:c r="H333" s="47" t="n">
        <x:v>46202</x:v>
      </x:c>
      <x:c r="I333" t="str">
        <x:v>6개 월차 만근 소급</x:v>
      </x:c>
      <x:c r="J333" s="58" t="n">
        <x:v>46202</x:v>
      </x:c>
    </x:row>
    <x:row r="334">
      <x:c r="A334" t="str">
        <x:v>3a9c25d2-2a29-4738-ae0a-b56e200a2990</x:v>
      </x:c>
      <x:c r="B334" t="str">
        <x:v>박철홍정형외과</x:v>
      </x:c>
      <x:c r="C334" t="str">
        <x:v>최찬</x:v>
      </x:c>
      <x:c r="D334" t="str">
        <x:v>monthly</x:v>
      </x:c>
      <x:c r="E334" t="str">
        <x:v>2024-10</x:v>
      </x:c>
      <x:c r="F334" s="56" t="n">
        <x:v>1</x:v>
      </x:c>
      <x:c r="G334" s="57" t="n">
        <x:v>2024</x:v>
      </x:c>
      <x:c r="H334" s="47" t="n">
        <x:v>46202</x:v>
      </x:c>
      <x:c r="I334" t="str">
        <x:v>7개 월차 만근 소급</x:v>
      </x:c>
      <x:c r="J334" s="58" t="n">
        <x:v>46202</x:v>
      </x:c>
    </x:row>
    <x:row r="335">
      <x:c r="A335" t="str">
        <x:v>3a9c25d2-2a29-4738-ae0a-b56e200a2990</x:v>
      </x:c>
      <x:c r="B335" t="str">
        <x:v>박철홍정형외과</x:v>
      </x:c>
      <x:c r="C335" t="str">
        <x:v>최찬</x:v>
      </x:c>
      <x:c r="D335" t="str">
        <x:v>monthly</x:v>
      </x:c>
      <x:c r="E335" t="str">
        <x:v>2024-11</x:v>
      </x:c>
      <x:c r="F335" s="56" t="n">
        <x:v>1</x:v>
      </x:c>
      <x:c r="G335" s="57" t="n">
        <x:v>2024</x:v>
      </x:c>
      <x:c r="H335" s="47" t="n">
        <x:v>46202</x:v>
      </x:c>
      <x:c r="I335" t="str">
        <x:v>8개 월차 만근 소급</x:v>
      </x:c>
      <x:c r="J335" s="58" t="n">
        <x:v>46202</x:v>
      </x:c>
    </x:row>
    <x:row r="336">
      <x:c r="A336" t="str">
        <x:v>3a9c25d2-2a29-4738-ae0a-b56e200a2990</x:v>
      </x:c>
      <x:c r="B336" t="str">
        <x:v>박철홍정형외과</x:v>
      </x:c>
      <x:c r="C336" t="str">
        <x:v>최찬</x:v>
      </x:c>
      <x:c r="D336" t="str">
        <x:v>monthly</x:v>
      </x:c>
      <x:c r="E336" t="str">
        <x:v>2024-12</x:v>
      </x:c>
      <x:c r="F336" s="56" t="n">
        <x:v>1</x:v>
      </x:c>
      <x:c r="G336" s="57" t="n">
        <x:v>2024</x:v>
      </x:c>
      <x:c r="H336" s="47" t="n">
        <x:v>46202</x:v>
      </x:c>
      <x:c r="I336" t="str">
        <x:v>9개 월차 만근 소급</x:v>
      </x:c>
      <x:c r="J336" s="58" t="n">
        <x:v>46202</x:v>
      </x:c>
    </x:row>
    <x:row r="337">
      <x:c r="A337" t="str">
        <x:v>3a9c25d2-2a29-4738-ae0a-b56e200a2990</x:v>
      </x:c>
      <x:c r="B337" t="str">
        <x:v>박철홍정형외과</x:v>
      </x:c>
      <x:c r="C337" t="str">
        <x:v>최찬</x:v>
      </x:c>
      <x:c r="D337" t="str">
        <x:v>monthly</x:v>
      </x:c>
      <x:c r="E337" t="str">
        <x:v>2025-01</x:v>
      </x:c>
      <x:c r="F337" s="56" t="n">
        <x:v>1</x:v>
      </x:c>
      <x:c r="G337" s="57" t="n">
        <x:v>2025</x:v>
      </x:c>
      <x:c r="H337" s="47" t="n">
        <x:v>46202</x:v>
      </x:c>
      <x:c r="I337" t="str">
        <x:v>10개 월차 만근 소급</x:v>
      </x:c>
      <x:c r="J337" s="58" t="n">
        <x:v>46202</x:v>
      </x:c>
    </x:row>
    <x:row r="338">
      <x:c r="A338" t="str">
        <x:v>3a9c25d2-2a29-4738-ae0a-b56e200a2990</x:v>
      </x:c>
      <x:c r="B338" t="str">
        <x:v>박철홍정형외과</x:v>
      </x:c>
      <x:c r="C338" t="str">
        <x:v>최찬</x:v>
      </x:c>
      <x:c r="D338" t="str">
        <x:v>monthly</x:v>
      </x:c>
      <x:c r="E338" t="str">
        <x:v>2025-02</x:v>
      </x:c>
      <x:c r="F338" s="56" t="n">
        <x:v>1</x:v>
      </x:c>
      <x:c r="G338" s="57" t="n">
        <x:v>2025</x:v>
      </x:c>
      <x:c r="H338" s="47" t="n">
        <x:v>46202</x:v>
      </x:c>
      <x:c r="I338" t="str">
        <x:v>11개 월차 만근 소급</x:v>
      </x:c>
      <x:c r="J338" s="58" t="n">
        <x:v>46202</x:v>
      </x:c>
    </x:row>
    <x:row r="339">
      <x:c r="A339" t="str">
        <x:v>3a9c25d2-2a29-4738-ae0a-b56e200a2990</x:v>
      </x:c>
      <x:c r="B339" t="str">
        <x:v>박철홍정형외과</x:v>
      </x:c>
      <x:c r="C339" t="str">
        <x:v>최찬</x:v>
      </x:c>
      <x:c r="D339" t="str">
        <x:v>annual</x:v>
      </x:c>
      <x:c r="E339" t="str">
        <x:v>annual:1</x:v>
      </x:c>
      <x:c r="F339" s="56" t="n">
        <x:v>15</x:v>
      </x:c>
      <x:c r="G339" s="57" t="n">
        <x:v>2026</x:v>
      </x:c>
      <x:c r="H339" s="47" t="n">
        <x:v>45777</x:v>
      </x:c>
      <x:c r="I339" t="str">
        <x:v>만 1년차 연차 15일 자동부여</x:v>
      </x:c>
      <x:c r="J339" s="58" t="n">
        <x:v>45777</x:v>
      </x:c>
    </x:row>
    <x:row r="340">
      <x:c r="A340" t="str">
        <x:v>3a9c25d2-2a29-4738-ae0a-b56e200a2990</x:v>
      </x:c>
      <x:c r="B340" t="str">
        <x:v>박철홍정형외과</x:v>
      </x:c>
      <x:c r="C340" t="str">
        <x:v>최찬</x:v>
      </x:c>
      <x:c r="D340" t="str">
        <x:v>annual</x:v>
      </x:c>
      <x:c r="E340" t="str">
        <x:v>annual:2</x:v>
      </x:c>
      <x:c r="F340" s="56" t="n">
        <x:v>15</x:v>
      </x:c>
      <x:c r="G340" s="57" t="n">
        <x:v>2026</x:v>
      </x:c>
      <x:c r="H340" s="47" t="n">
        <x:v>46142</x:v>
      </x:c>
      <x:c r="I340" t="str">
        <x:v>만 2년차 연차 15일 자동부여</x:v>
      </x:c>
      <x:c r="J340" s="58" t="n">
        <x:v>46142</x:v>
      </x:c>
    </x:row>
    <x:row r="341">
      <x:c r="A341" t="str">
        <x:v>bc0ecd9d-9fd2-49b0-b042-6bb743538a6a</x:v>
      </x:c>
      <x:c r="B341" t="str">
        <x:v>박철홍정형외과</x:v>
      </x:c>
      <x:c r="C341" t="str">
        <x:v>하순정</x:v>
      </x:c>
      <x:c r="D341" t="str">
        <x:v>monthly</x:v>
      </x:c>
      <x:c r="E341" t="str">
        <x:v>2025-06</x:v>
      </x:c>
      <x:c r="F341" s="56" t="n">
        <x:v>1</x:v>
      </x:c>
      <x:c r="G341" s="57" t="n">
        <x:v>2025</x:v>
      </x:c>
      <x:c r="H341" s="47" t="n">
        <x:v>46202</x:v>
      </x:c>
      <x:c r="I341" t="str">
        <x:v>1개 월차 만근 소급</x:v>
      </x:c>
      <x:c r="J341" s="58" t="n">
        <x:v>46202</x:v>
      </x:c>
    </x:row>
    <x:row r="342">
      <x:c r="A342" t="str">
        <x:v>bc0ecd9d-9fd2-49b0-b042-6bb743538a6a</x:v>
      </x:c>
      <x:c r="B342" t="str">
        <x:v>박철홍정형외과</x:v>
      </x:c>
      <x:c r="C342" t="str">
        <x:v>하순정</x:v>
      </x:c>
      <x:c r="D342" t="str">
        <x:v>monthly</x:v>
      </x:c>
      <x:c r="E342" t="str">
        <x:v>2025-07</x:v>
      </x:c>
      <x:c r="F342" s="56" t="n">
        <x:v>1</x:v>
      </x:c>
      <x:c r="G342" s="57" t="n">
        <x:v>2025</x:v>
      </x:c>
      <x:c r="H342" s="47" t="n">
        <x:v>46202</x:v>
      </x:c>
      <x:c r="I342" t="str">
        <x:v>2개 월차 만근 소급</x:v>
      </x:c>
      <x:c r="J342" s="58" t="n">
        <x:v>46202</x:v>
      </x:c>
    </x:row>
    <x:row r="343">
      <x:c r="A343" t="str">
        <x:v>bc0ecd9d-9fd2-49b0-b042-6bb743538a6a</x:v>
      </x:c>
      <x:c r="B343" t="str">
        <x:v>박철홍정형외과</x:v>
      </x:c>
      <x:c r="C343" t="str">
        <x:v>하순정</x:v>
      </x:c>
      <x:c r="D343" t="str">
        <x:v>monthly</x:v>
      </x:c>
      <x:c r="E343" t="str">
        <x:v>2025-08</x:v>
      </x:c>
      <x:c r="F343" s="56" t="n">
        <x:v>1</x:v>
      </x:c>
      <x:c r="G343" s="57" t="n">
        <x:v>2025</x:v>
      </x:c>
      <x:c r="H343" s="47" t="n">
        <x:v>46202</x:v>
      </x:c>
      <x:c r="I343" t="str">
        <x:v>3개 월차 만근 소급</x:v>
      </x:c>
      <x:c r="J343" s="58" t="n">
        <x:v>46202</x:v>
      </x:c>
    </x:row>
    <x:row r="344">
      <x:c r="A344" t="str">
        <x:v>bc0ecd9d-9fd2-49b0-b042-6bb743538a6a</x:v>
      </x:c>
      <x:c r="B344" t="str">
        <x:v>박철홍정형외과</x:v>
      </x:c>
      <x:c r="C344" t="str">
        <x:v>하순정</x:v>
      </x:c>
      <x:c r="D344" t="str">
        <x:v>monthly</x:v>
      </x:c>
      <x:c r="E344" t="str">
        <x:v>2025-09</x:v>
      </x:c>
      <x:c r="F344" s="56" t="n">
        <x:v>1</x:v>
      </x:c>
      <x:c r="G344" s="57" t="n">
        <x:v>2025</x:v>
      </x:c>
      <x:c r="H344" s="47" t="n">
        <x:v>46202</x:v>
      </x:c>
      <x:c r="I344" t="str">
        <x:v>4개 월차 만근 소급</x:v>
      </x:c>
      <x:c r="J344" s="58" t="n">
        <x:v>46202</x:v>
      </x:c>
    </x:row>
    <x:row r="345">
      <x:c r="A345" t="str">
        <x:v>bc0ecd9d-9fd2-49b0-b042-6bb743538a6a</x:v>
      </x:c>
      <x:c r="B345" t="str">
        <x:v>박철홍정형외과</x:v>
      </x:c>
      <x:c r="C345" t="str">
        <x:v>하순정</x:v>
      </x:c>
      <x:c r="D345" t="str">
        <x:v>monthly</x:v>
      </x:c>
      <x:c r="E345" t="str">
        <x:v>2025-10</x:v>
      </x:c>
      <x:c r="F345" s="56" t="n">
        <x:v>1</x:v>
      </x:c>
      <x:c r="G345" s="57" t="n">
        <x:v>2025</x:v>
      </x:c>
      <x:c r="H345" s="47" t="n">
        <x:v>46202</x:v>
      </x:c>
      <x:c r="I345" t="str">
        <x:v>5개 월차 만근 소급</x:v>
      </x:c>
      <x:c r="J345" s="58" t="n">
        <x:v>46202</x:v>
      </x:c>
    </x:row>
    <x:row r="346">
      <x:c r="A346" t="str">
        <x:v>bc0ecd9d-9fd2-49b0-b042-6bb743538a6a</x:v>
      </x:c>
      <x:c r="B346" t="str">
        <x:v>박철홍정형외과</x:v>
      </x:c>
      <x:c r="C346" t="str">
        <x:v>하순정</x:v>
      </x:c>
      <x:c r="D346" t="str">
        <x:v>monthly</x:v>
      </x:c>
      <x:c r="E346" t="str">
        <x:v>2025-11</x:v>
      </x:c>
      <x:c r="F346" s="56" t="n">
        <x:v>1</x:v>
      </x:c>
      <x:c r="G346" s="57" t="n">
        <x:v>2025</x:v>
      </x:c>
      <x:c r="H346" s="47" t="n">
        <x:v>46202</x:v>
      </x:c>
      <x:c r="I346" t="str">
        <x:v>6개 월차 만근 소급</x:v>
      </x:c>
      <x:c r="J346" s="58" t="n">
        <x:v>46202</x:v>
      </x:c>
    </x:row>
    <x:row r="347">
      <x:c r="A347" t="str">
        <x:v>bc0ecd9d-9fd2-49b0-b042-6bb743538a6a</x:v>
      </x:c>
      <x:c r="B347" t="str">
        <x:v>박철홍정형외과</x:v>
      </x:c>
      <x:c r="C347" t="str">
        <x:v>하순정</x:v>
      </x:c>
      <x:c r="D347" t="str">
        <x:v>monthly</x:v>
      </x:c>
      <x:c r="E347" t="str">
        <x:v>2025-12</x:v>
      </x:c>
      <x:c r="F347" s="56" t="n">
        <x:v>1</x:v>
      </x:c>
      <x:c r="G347" s="57" t="n">
        <x:v>2025</x:v>
      </x:c>
      <x:c r="H347" s="47" t="n">
        <x:v>46202</x:v>
      </x:c>
      <x:c r="I347" t="str">
        <x:v>7개 월차 만근 소급</x:v>
      </x:c>
      <x:c r="J347" s="58" t="n">
        <x:v>46202</x:v>
      </x:c>
    </x:row>
    <x:row r="348">
      <x:c r="A348" t="str">
        <x:v>bc0ecd9d-9fd2-49b0-b042-6bb743538a6a</x:v>
      </x:c>
      <x:c r="B348" t="str">
        <x:v>박철홍정형외과</x:v>
      </x:c>
      <x:c r="C348" t="str">
        <x:v>하순정</x:v>
      </x:c>
      <x:c r="D348" t="str">
        <x:v>annual</x:v>
      </x:c>
      <x:c r="E348" t="str">
        <x:v>annual:1</x:v>
      </x:c>
      <x:c r="F348" s="56" t="n">
        <x:v>15</x:v>
      </x:c>
      <x:c r="G348" s="57" t="n">
        <x:v>2026</x:v>
      </x:c>
      <x:c r="H348" s="47" t="n">
        <x:v>46175</x:v>
      </x:c>
      <x:c r="I348" t="str">
        <x:v>만 1년차 연차 15일 자동부여</x:v>
      </x:c>
      <x:c r="J348" s="58" t="n">
        <x:v>46175</x:v>
      </x:c>
    </x:row>
    <x:row r="349">
      <x:c r="A349" t="str">
        <x:v>bc0ecd9d-9fd2-49b0-b042-6bb743538a6a</x:v>
      </x:c>
      <x:c r="B349" t="str">
        <x:v>박철홍정형외과</x:v>
      </x:c>
      <x:c r="C349" t="str">
        <x:v>하순정</x:v>
      </x:c>
      <x:c r="D349" t="str">
        <x:v>monthly</x:v>
      </x:c>
      <x:c r="E349" t="str">
        <x:v>2026-01</x:v>
      </x:c>
      <x:c r="F349" s="56" t="n">
        <x:v>1</x:v>
      </x:c>
      <x:c r="G349" s="57" t="n">
        <x:v>2026</x:v>
      </x:c>
      <x:c r="H349" s="47" t="n">
        <x:v>46202</x:v>
      </x:c>
      <x:c r="I349" t="str">
        <x:v>8개 월차 만근 소급</x:v>
      </x:c>
      <x:c r="J349" s="58" t="n">
        <x:v>46202</x:v>
      </x:c>
    </x:row>
    <x:row r="350">
      <x:c r="A350" t="str">
        <x:v>bc0ecd9d-9fd2-49b0-b042-6bb743538a6a</x:v>
      </x:c>
      <x:c r="B350" t="str">
        <x:v>박철홍정형외과</x:v>
      </x:c>
      <x:c r="C350" t="str">
        <x:v>하순정</x:v>
      </x:c>
      <x:c r="D350" t="str">
        <x:v>monthly</x:v>
      </x:c>
      <x:c r="E350" t="str">
        <x:v>2026-02</x:v>
      </x:c>
      <x:c r="F350" s="56" t="n">
        <x:v>1</x:v>
      </x:c>
      <x:c r="G350" s="57" t="n">
        <x:v>2026</x:v>
      </x:c>
      <x:c r="H350" s="47" t="n">
        <x:v>46202</x:v>
      </x:c>
      <x:c r="I350" t="str">
        <x:v>9개 월차 만근 소급</x:v>
      </x:c>
      <x:c r="J350" s="58" t="n">
        <x:v>46202</x:v>
      </x:c>
    </x:row>
    <x:row r="351">
      <x:c r="A351" t="str">
        <x:v>bc0ecd9d-9fd2-49b0-b042-6bb743538a6a</x:v>
      </x:c>
      <x:c r="B351" t="str">
        <x:v>박철홍정형외과</x:v>
      </x:c>
      <x:c r="C351" t="str">
        <x:v>하순정</x:v>
      </x:c>
      <x:c r="D351" t="str">
        <x:v>monthly</x:v>
      </x:c>
      <x:c r="E351" t="str">
        <x:v>2026-03</x:v>
      </x:c>
      <x:c r="F351" s="56" t="n">
        <x:v>1</x:v>
      </x:c>
      <x:c r="G351" s="57" t="n">
        <x:v>2026</x:v>
      </x:c>
      <x:c r="H351" s="47" t="n">
        <x:v>46202</x:v>
      </x:c>
      <x:c r="I351" t="str">
        <x:v>10개 월차 만근 소급</x:v>
      </x:c>
      <x:c r="J351" s="58" t="n">
        <x:v>46202</x:v>
      </x:c>
    </x:row>
    <x:row r="352">
      <x:c r="A352" t="str">
        <x:v>bc0ecd9d-9fd2-49b0-b042-6bb743538a6a</x:v>
      </x:c>
      <x:c r="B352" t="str">
        <x:v>박철홍정형외과</x:v>
      </x:c>
      <x:c r="C352" t="str">
        <x:v>하순정</x:v>
      </x:c>
      <x:c r="D352" t="str">
        <x:v>monthly</x:v>
      </x:c>
      <x:c r="E352" t="str">
        <x:v>2026-04</x:v>
      </x:c>
      <x:c r="F352" s="56" t="n">
        <x:v>1</x:v>
      </x:c>
      <x:c r="G352" s="57" t="n">
        <x:v>2026</x:v>
      </x:c>
      <x:c r="H352" s="47" t="n">
        <x:v>46202</x:v>
      </x:c>
      <x:c r="I352" t="str">
        <x:v>11개 월차 만근 소급</x:v>
      </x:c>
      <x:c r="J352" s="58" t="n">
        <x:v>46202</x:v>
      </x:c>
    </x:row>
    <x:row r="353">
      <x:c r="A353" t="str">
        <x:v>123a8b0d-d041-426c-aa79-f891a2d687a7</x:v>
      </x:c>
      <x:c r="B353" t="str">
        <x:v>박철홍정형외과</x:v>
      </x:c>
      <x:c r="C353" t="str">
        <x:v>홍자비</x:v>
      </x:c>
      <x:c r="D353" t="str">
        <x:v>monthly</x:v>
      </x:c>
      <x:c r="E353" t="str">
        <x:v>2023-10</x:v>
      </x:c>
      <x:c r="F353" s="56" t="n">
        <x:v>1</x:v>
      </x:c>
      <x:c r="G353" s="57" t="n">
        <x:v>2023</x:v>
      </x:c>
      <x:c r="H353" s="47" t="n">
        <x:v>46202</x:v>
      </x:c>
      <x:c r="I353" t="str">
        <x:v>1개 월차 만근 소급</x:v>
      </x:c>
      <x:c r="J353" s="58" t="n">
        <x:v>46202</x:v>
      </x:c>
    </x:row>
    <x:row r="354">
      <x:c r="A354" t="str">
        <x:v>123a8b0d-d041-426c-aa79-f891a2d687a7</x:v>
      </x:c>
      <x:c r="B354" t="str">
        <x:v>박철홍정형외과</x:v>
      </x:c>
      <x:c r="C354" t="str">
        <x:v>홍자비</x:v>
      </x:c>
      <x:c r="D354" t="str">
        <x:v>monthly</x:v>
      </x:c>
      <x:c r="E354" t="str">
        <x:v>2023-11</x:v>
      </x:c>
      <x:c r="F354" s="56" t="n">
        <x:v>1</x:v>
      </x:c>
      <x:c r="G354" s="57" t="n">
        <x:v>2023</x:v>
      </x:c>
      <x:c r="H354" s="47" t="n">
        <x:v>46202</x:v>
      </x:c>
      <x:c r="I354" t="str">
        <x:v>2개 월차 만근 소급</x:v>
      </x:c>
      <x:c r="J354" s="58" t="n">
        <x:v>46202</x:v>
      </x:c>
    </x:row>
    <x:row r="355">
      <x:c r="A355" t="str">
        <x:v>123a8b0d-d041-426c-aa79-f891a2d687a7</x:v>
      </x:c>
      <x:c r="B355" t="str">
        <x:v>박철홍정형외과</x:v>
      </x:c>
      <x:c r="C355" t="str">
        <x:v>홍자비</x:v>
      </x:c>
      <x:c r="D355" t="str">
        <x:v>monthly</x:v>
      </x:c>
      <x:c r="E355" t="str">
        <x:v>2023-12</x:v>
      </x:c>
      <x:c r="F355" s="56" t="n">
        <x:v>1</x:v>
      </x:c>
      <x:c r="G355" s="57" t="n">
        <x:v>2023</x:v>
      </x:c>
      <x:c r="H355" s="47" t="n">
        <x:v>46202</x:v>
      </x:c>
      <x:c r="I355" t="str">
        <x:v>3개 월차 만근 소급</x:v>
      </x:c>
      <x:c r="J355" s="58" t="n">
        <x:v>46202</x:v>
      </x:c>
    </x:row>
    <x:row r="356">
      <x:c r="A356" t="str">
        <x:v>123a8b0d-d041-426c-aa79-f891a2d687a7</x:v>
      </x:c>
      <x:c r="B356" t="str">
        <x:v>박철홍정형외과</x:v>
      </x:c>
      <x:c r="C356" t="str">
        <x:v>홍자비</x:v>
      </x:c>
      <x:c r="D356" t="str">
        <x:v>monthly</x:v>
      </x:c>
      <x:c r="E356" t="str">
        <x:v>2024-01</x:v>
      </x:c>
      <x:c r="F356" s="56" t="n">
        <x:v>1</x:v>
      </x:c>
      <x:c r="G356" s="57" t="n">
        <x:v>2024</x:v>
      </x:c>
      <x:c r="H356" s="47" t="n">
        <x:v>46202</x:v>
      </x:c>
      <x:c r="I356" t="str">
        <x:v>4개 월차 만근 소급</x:v>
      </x:c>
      <x:c r="J356" s="58" t="n">
        <x:v>46202</x:v>
      </x:c>
    </x:row>
    <x:row r="357">
      <x:c r="A357" t="str">
        <x:v>123a8b0d-d041-426c-aa79-f891a2d687a7</x:v>
      </x:c>
      <x:c r="B357" t="str">
        <x:v>박철홍정형외과</x:v>
      </x:c>
      <x:c r="C357" t="str">
        <x:v>홍자비</x:v>
      </x:c>
      <x:c r="D357" t="str">
        <x:v>monthly</x:v>
      </x:c>
      <x:c r="E357" t="str">
        <x:v>2024-02</x:v>
      </x:c>
      <x:c r="F357" s="56" t="n">
        <x:v>1</x:v>
      </x:c>
      <x:c r="G357" s="57" t="n">
        <x:v>2024</x:v>
      </x:c>
      <x:c r="H357" s="47" t="n">
        <x:v>46202</x:v>
      </x:c>
      <x:c r="I357" t="str">
        <x:v>5개 월차 만근 소급</x:v>
      </x:c>
      <x:c r="J357" s="58" t="n">
        <x:v>46202</x:v>
      </x:c>
    </x:row>
    <x:row r="358">
      <x:c r="A358" t="str">
        <x:v>123a8b0d-d041-426c-aa79-f891a2d687a7</x:v>
      </x:c>
      <x:c r="B358" t="str">
        <x:v>박철홍정형외과</x:v>
      </x:c>
      <x:c r="C358" t="str">
        <x:v>홍자비</x:v>
      </x:c>
      <x:c r="D358" t="str">
        <x:v>monthly</x:v>
      </x:c>
      <x:c r="E358" t="str">
        <x:v>2024-03</x:v>
      </x:c>
      <x:c r="F358" s="56" t="n">
        <x:v>1</x:v>
      </x:c>
      <x:c r="G358" s="57" t="n">
        <x:v>2024</x:v>
      </x:c>
      <x:c r="H358" s="47" t="n">
        <x:v>46202</x:v>
      </x:c>
      <x:c r="I358" t="str">
        <x:v>6개 월차 만근 소급</x:v>
      </x:c>
      <x:c r="J358" s="58" t="n">
        <x:v>46202</x:v>
      </x:c>
    </x:row>
    <x:row r="359">
      <x:c r="A359" t="str">
        <x:v>123a8b0d-d041-426c-aa79-f891a2d687a7</x:v>
      </x:c>
      <x:c r="B359" t="str">
        <x:v>박철홍정형외과</x:v>
      </x:c>
      <x:c r="C359" t="str">
        <x:v>홍자비</x:v>
      </x:c>
      <x:c r="D359" t="str">
        <x:v>monthly</x:v>
      </x:c>
      <x:c r="E359" t="str">
        <x:v>2024-04</x:v>
      </x:c>
      <x:c r="F359" s="56" t="n">
        <x:v>1</x:v>
      </x:c>
      <x:c r="G359" s="57" t="n">
        <x:v>2024</x:v>
      </x:c>
      <x:c r="H359" s="47" t="n">
        <x:v>46202</x:v>
      </x:c>
      <x:c r="I359" t="str">
        <x:v>7개 월차 만근 소급</x:v>
      </x:c>
      <x:c r="J359" s="58" t="n">
        <x:v>46202</x:v>
      </x:c>
    </x:row>
    <x:row r="360">
      <x:c r="A360" t="str">
        <x:v>123a8b0d-d041-426c-aa79-f891a2d687a7</x:v>
      </x:c>
      <x:c r="B360" t="str">
        <x:v>박철홍정형외과</x:v>
      </x:c>
      <x:c r="C360" t="str">
        <x:v>홍자비</x:v>
      </x:c>
      <x:c r="D360" t="str">
        <x:v>monthly</x:v>
      </x:c>
      <x:c r="E360" t="str">
        <x:v>2024-05</x:v>
      </x:c>
      <x:c r="F360" s="56" t="n">
        <x:v>1</x:v>
      </x:c>
      <x:c r="G360" s="57" t="n">
        <x:v>2024</x:v>
      </x:c>
      <x:c r="H360" s="47" t="n">
        <x:v>46202</x:v>
      </x:c>
      <x:c r="I360" t="str">
        <x:v>8개 월차 만근 소급</x:v>
      </x:c>
      <x:c r="J360" s="58" t="n">
        <x:v>46202</x:v>
      </x:c>
    </x:row>
    <x:row r="361">
      <x:c r="A361" t="str">
        <x:v>123a8b0d-d041-426c-aa79-f891a2d687a7</x:v>
      </x:c>
      <x:c r="B361" t="str">
        <x:v>박철홍정형외과</x:v>
      </x:c>
      <x:c r="C361" t="str">
        <x:v>홍자비</x:v>
      </x:c>
      <x:c r="D361" t="str">
        <x:v>monthly</x:v>
      </x:c>
      <x:c r="E361" t="str">
        <x:v>2024-06</x:v>
      </x:c>
      <x:c r="F361" s="56" t="n">
        <x:v>1</x:v>
      </x:c>
      <x:c r="G361" s="57" t="n">
        <x:v>2024</x:v>
      </x:c>
      <x:c r="H361" s="47" t="n">
        <x:v>46202</x:v>
      </x:c>
      <x:c r="I361" t="str">
        <x:v>9개 월차 만근 소급</x:v>
      </x:c>
      <x:c r="J361" s="58" t="n">
        <x:v>46202</x:v>
      </x:c>
    </x:row>
    <x:row r="362">
      <x:c r="A362" t="str">
        <x:v>123a8b0d-d041-426c-aa79-f891a2d687a7</x:v>
      </x:c>
      <x:c r="B362" t="str">
        <x:v>박철홍정형외과</x:v>
      </x:c>
      <x:c r="C362" t="str">
        <x:v>홍자비</x:v>
      </x:c>
      <x:c r="D362" t="str">
        <x:v>monthly</x:v>
      </x:c>
      <x:c r="E362" t="str">
        <x:v>2024-07</x:v>
      </x:c>
      <x:c r="F362" s="56" t="n">
        <x:v>1</x:v>
      </x:c>
      <x:c r="G362" s="57" t="n">
        <x:v>2024</x:v>
      </x:c>
      <x:c r="H362" s="47" t="n">
        <x:v>46202</x:v>
      </x:c>
      <x:c r="I362" t="str">
        <x:v>10개 월차 만근 소급</x:v>
      </x:c>
      <x:c r="J362" s="58" t="n">
        <x:v>46202</x:v>
      </x:c>
    </x:row>
    <x:row r="363">
      <x:c r="A363" t="str">
        <x:v>123a8b0d-d041-426c-aa79-f891a2d687a7</x:v>
      </x:c>
      <x:c r="B363" t="str">
        <x:v>박철홍정형외과</x:v>
      </x:c>
      <x:c r="C363" t="str">
        <x:v>홍자비</x:v>
      </x:c>
      <x:c r="D363" t="str">
        <x:v>monthly</x:v>
      </x:c>
      <x:c r="E363" t="str">
        <x:v>2024-08</x:v>
      </x:c>
      <x:c r="F363" s="56" t="n">
        <x:v>1</x:v>
      </x:c>
      <x:c r="G363" s="57" t="n">
        <x:v>2024</x:v>
      </x:c>
      <x:c r="H363" s="47" t="n">
        <x:v>46202</x:v>
      </x:c>
      <x:c r="I363" t="str">
        <x:v>11개 월차 만근 소급</x:v>
      </x:c>
      <x:c r="J363" s="58" t="n">
        <x:v>46202</x:v>
      </x:c>
    </x:row>
    <x:row r="364">
      <x:c r="A364" t="str">
        <x:v>123a8b0d-d041-426c-aa79-f891a2d687a7</x:v>
      </x:c>
      <x:c r="B364" t="str">
        <x:v>박철홍정형외과</x:v>
      </x:c>
      <x:c r="C364" t="str">
        <x:v>홍자비</x:v>
      </x:c>
      <x:c r="D364" t="str">
        <x:v>annual</x:v>
      </x:c>
      <x:c r="E364" t="str">
        <x:v>annual:1</x:v>
      </x:c>
      <x:c r="F364" s="56" t="n">
        <x:v>15</x:v>
      </x:c>
      <x:c r="G364" s="57" t="n">
        <x:v>2026</x:v>
      </x:c>
      <x:c r="H364" s="47" t="n">
        <x:v>45589</x:v>
      </x:c>
      <x:c r="I364" t="str">
        <x:v>만 1년차 연차 15일 자동부여</x:v>
      </x:c>
      <x:c r="J364" s="58" t="n">
        <x:v>45589</x:v>
      </x:c>
    </x:row>
    <x:row r="365">
      <x:c r="A365" t="str">
        <x:v>123a8b0d-d041-426c-aa79-f891a2d687a7</x:v>
      </x:c>
      <x:c r="B365" t="str">
        <x:v>박철홍정형외과</x:v>
      </x:c>
      <x:c r="C365" t="str">
        <x:v>홍자비</x:v>
      </x:c>
      <x:c r="D365" t="str">
        <x:v>annual</x:v>
      </x:c>
      <x:c r="E365" t="str">
        <x:v>annual:2</x:v>
      </x:c>
      <x:c r="F365" s="56" t="n">
        <x:v>15</x:v>
      </x:c>
      <x:c r="G365" s="57" t="n">
        <x:v>2026</x:v>
      </x:c>
      <x:c r="H365" s="47" t="n">
        <x:v>45954</x:v>
      </x:c>
      <x:c r="I365" t="str">
        <x:v>만 2년차 연차 15일 자동부여</x:v>
      </x:c>
      <x:c r="J365" s="58" t="n">
        <x:v>45954</x:v>
      </x:c>
    </x:row>
    <x:row r="366">
      <x:c r="A366" t="str">
        <x:v>f3f7e5cb-11c5-4ffd-a7b9-8025d5171e48</x:v>
      </x:c>
      <x:c r="B366" t="str">
        <x:v>수연의원</x:v>
      </x:c>
      <x:c r="C366" t="str">
        <x:v>김성미</x:v>
      </x:c>
      <x:c r="D366" t="str">
        <x:v>annual</x:v>
      </x:c>
      <x:c r="E366" t="str">
        <x:v>annual:1</x:v>
      </x:c>
      <x:c r="F366" s="56" t="n">
        <x:v>15</x:v>
      </x:c>
      <x:c r="G366" s="57" t="n">
        <x:v>2026</x:v>
      </x:c>
      <x:c r="H366" s="47" t="n">
        <x:v>45676</x:v>
      </x:c>
      <x:c r="I366" t="str">
        <x:v>만 1년차 연차 15일 자동부여</x:v>
      </x:c>
      <x:c r="J366" s="58" t="n">
        <x:v>45676</x:v>
      </x:c>
    </x:row>
    <x:row r="367">
      <x:c r="A367" t="str">
        <x:v>f3f7e5cb-11c5-4ffd-a7b9-8025d5171e48</x:v>
      </x:c>
      <x:c r="B367" t="str">
        <x:v>수연의원</x:v>
      </x:c>
      <x:c r="C367" t="str">
        <x:v>김성미</x:v>
      </x:c>
      <x:c r="D367" t="str">
        <x:v>annual</x:v>
      </x:c>
      <x:c r="E367" t="str">
        <x:v>annual:2</x:v>
      </x:c>
      <x:c r="F367" s="56" t="n">
        <x:v>15</x:v>
      </x:c>
      <x:c r="G367" s="57" t="n">
        <x:v>2026</x:v>
      </x:c>
      <x:c r="H367" s="47" t="n">
        <x:v>46041</x:v>
      </x:c>
      <x:c r="I367" t="str">
        <x:v>만 2년차 연차 15일 자동부여</x:v>
      </x:c>
      <x:c r="J367" s="58" t="n">
        <x:v>46041</x:v>
      </x:c>
    </x:row>
    <x:row r="368">
      <x:c r="A368" t="str">
        <x:v>fd9cb6d9-5aff-457e-82d6-38ccf7e6758d</x:v>
      </x:c>
      <x:c r="B368" t="str">
        <x:v>수연의원</x:v>
      </x:c>
      <x:c r="C368" t="str">
        <x:v>박수연</x:v>
      </x:c>
      <x:c r="D368" t="str">
        <x:v>monthly</x:v>
      </x:c>
      <x:c r="E368" t="str">
        <x:v>2025-04</x:v>
      </x:c>
      <x:c r="F368" s="56" t="n">
        <x:v>1</x:v>
      </x:c>
      <x:c r="G368" s="57" t="n">
        <x:v>2025</x:v>
      </x:c>
      <x:c r="H368" s="47" t="n">
        <x:v>46202</x:v>
      </x:c>
      <x:c r="I368" t="str">
        <x:v>1개 월차 만근 소급</x:v>
      </x:c>
      <x:c r="J368" s="58" t="n">
        <x:v>46202</x:v>
      </x:c>
    </x:row>
    <x:row r="369">
      <x:c r="A369" t="str">
        <x:v>fd9cb6d9-5aff-457e-82d6-38ccf7e6758d</x:v>
      </x:c>
      <x:c r="B369" t="str">
        <x:v>수연의원</x:v>
      </x:c>
      <x:c r="C369" t="str">
        <x:v>박수연</x:v>
      </x:c>
      <x:c r="D369" t="str">
        <x:v>monthly</x:v>
      </x:c>
      <x:c r="E369" t="str">
        <x:v>2025-05</x:v>
      </x:c>
      <x:c r="F369" s="56" t="n">
        <x:v>1</x:v>
      </x:c>
      <x:c r="G369" s="57" t="n">
        <x:v>2025</x:v>
      </x:c>
      <x:c r="H369" s="47" t="n">
        <x:v>46202</x:v>
      </x:c>
      <x:c r="I369" t="str">
        <x:v>2개 월차 만근 소급</x:v>
      </x:c>
      <x:c r="J369" s="58" t="n">
        <x:v>46202</x:v>
      </x:c>
    </x:row>
    <x:row r="370">
      <x:c r="A370" t="str">
        <x:v>fd9cb6d9-5aff-457e-82d6-38ccf7e6758d</x:v>
      </x:c>
      <x:c r="B370" t="str">
        <x:v>수연의원</x:v>
      </x:c>
      <x:c r="C370" t="str">
        <x:v>박수연</x:v>
      </x:c>
      <x:c r="D370" t="str">
        <x:v>monthly</x:v>
      </x:c>
      <x:c r="E370" t="str">
        <x:v>2025-06</x:v>
      </x:c>
      <x:c r="F370" s="56" t="n">
        <x:v>1</x:v>
      </x:c>
      <x:c r="G370" s="57" t="n">
        <x:v>2025</x:v>
      </x:c>
      <x:c r="H370" s="47" t="n">
        <x:v>46202</x:v>
      </x:c>
      <x:c r="I370" t="str">
        <x:v>3개 월차 만근 소급</x:v>
      </x:c>
      <x:c r="J370" s="58" t="n">
        <x:v>46202</x:v>
      </x:c>
    </x:row>
    <x:row r="371">
      <x:c r="A371" t="str">
        <x:v>fd9cb6d9-5aff-457e-82d6-38ccf7e6758d</x:v>
      </x:c>
      <x:c r="B371" t="str">
        <x:v>수연의원</x:v>
      </x:c>
      <x:c r="C371" t="str">
        <x:v>박수연</x:v>
      </x:c>
      <x:c r="D371" t="str">
        <x:v>monthly</x:v>
      </x:c>
      <x:c r="E371" t="str">
        <x:v>2025-07</x:v>
      </x:c>
      <x:c r="F371" s="56" t="n">
        <x:v>1</x:v>
      </x:c>
      <x:c r="G371" s="57" t="n">
        <x:v>2025</x:v>
      </x:c>
      <x:c r="H371" s="47" t="n">
        <x:v>46202</x:v>
      </x:c>
      <x:c r="I371" t="str">
        <x:v>4개 월차 만근 소급</x:v>
      </x:c>
      <x:c r="J371" s="58" t="n">
        <x:v>46202</x:v>
      </x:c>
    </x:row>
    <x:row r="372">
      <x:c r="A372" t="str">
        <x:v>fd9cb6d9-5aff-457e-82d6-38ccf7e6758d</x:v>
      </x:c>
      <x:c r="B372" t="str">
        <x:v>수연의원</x:v>
      </x:c>
      <x:c r="C372" t="str">
        <x:v>박수연</x:v>
      </x:c>
      <x:c r="D372" t="str">
        <x:v>monthly</x:v>
      </x:c>
      <x:c r="E372" t="str">
        <x:v>2025-08</x:v>
      </x:c>
      <x:c r="F372" s="56" t="n">
        <x:v>1</x:v>
      </x:c>
      <x:c r="G372" s="57" t="n">
        <x:v>2025</x:v>
      </x:c>
      <x:c r="H372" s="47" t="n">
        <x:v>46202</x:v>
      </x:c>
      <x:c r="I372" t="str">
        <x:v>5개 월차 만근 소급</x:v>
      </x:c>
      <x:c r="J372" s="58" t="n">
        <x:v>46202</x:v>
      </x:c>
    </x:row>
    <x:row r="373">
      <x:c r="A373" t="str">
        <x:v>fd9cb6d9-5aff-457e-82d6-38ccf7e6758d</x:v>
      </x:c>
      <x:c r="B373" t="str">
        <x:v>수연의원</x:v>
      </x:c>
      <x:c r="C373" t="str">
        <x:v>박수연</x:v>
      </x:c>
      <x:c r="D373" t="str">
        <x:v>monthly</x:v>
      </x:c>
      <x:c r="E373" t="str">
        <x:v>2025-09</x:v>
      </x:c>
      <x:c r="F373" s="56" t="n">
        <x:v>1</x:v>
      </x:c>
      <x:c r="G373" s="57" t="n">
        <x:v>2025</x:v>
      </x:c>
      <x:c r="H373" s="47" t="n">
        <x:v>46202</x:v>
      </x:c>
      <x:c r="I373" t="str">
        <x:v>6개 월차 만근 소급</x:v>
      </x:c>
      <x:c r="J373" s="58" t="n">
        <x:v>46202</x:v>
      </x:c>
    </x:row>
    <x:row r="374">
      <x:c r="A374" t="str">
        <x:v>fd9cb6d9-5aff-457e-82d6-38ccf7e6758d</x:v>
      </x:c>
      <x:c r="B374" t="str">
        <x:v>수연의원</x:v>
      </x:c>
      <x:c r="C374" t="str">
        <x:v>박수연</x:v>
      </x:c>
      <x:c r="D374" t="str">
        <x:v>monthly</x:v>
      </x:c>
      <x:c r="E374" t="str">
        <x:v>2025-10</x:v>
      </x:c>
      <x:c r="F374" s="56" t="n">
        <x:v>1</x:v>
      </x:c>
      <x:c r="G374" s="57" t="n">
        <x:v>2025</x:v>
      </x:c>
      <x:c r="H374" s="47" t="n">
        <x:v>46202</x:v>
      </x:c>
      <x:c r="I374" t="str">
        <x:v>7개 월차 만근 소급</x:v>
      </x:c>
      <x:c r="J374" s="58" t="n">
        <x:v>46202</x:v>
      </x:c>
    </x:row>
    <x:row r="375">
      <x:c r="A375" t="str">
        <x:v>fd9cb6d9-5aff-457e-82d6-38ccf7e6758d</x:v>
      </x:c>
      <x:c r="B375" t="str">
        <x:v>수연의원</x:v>
      </x:c>
      <x:c r="C375" t="str">
        <x:v>박수연</x:v>
      </x:c>
      <x:c r="D375" t="str">
        <x:v>monthly</x:v>
      </x:c>
      <x:c r="E375" t="str">
        <x:v>2025-11</x:v>
      </x:c>
      <x:c r="F375" s="56" t="n">
        <x:v>1</x:v>
      </x:c>
      <x:c r="G375" s="57" t="n">
        <x:v>2025</x:v>
      </x:c>
      <x:c r="H375" s="47" t="n">
        <x:v>46202</x:v>
      </x:c>
      <x:c r="I375" t="str">
        <x:v>8개 월차 만근 소급</x:v>
      </x:c>
      <x:c r="J375" s="58" t="n">
        <x:v>46202</x:v>
      </x:c>
    </x:row>
    <x:row r="376">
      <x:c r="A376" t="str">
        <x:v>fd9cb6d9-5aff-457e-82d6-38ccf7e6758d</x:v>
      </x:c>
      <x:c r="B376" t="str">
        <x:v>수연의원</x:v>
      </x:c>
      <x:c r="C376" t="str">
        <x:v>박수연</x:v>
      </x:c>
      <x:c r="D376" t="str">
        <x:v>monthly</x:v>
      </x:c>
      <x:c r="E376" t="str">
        <x:v>2025-12</x:v>
      </x:c>
      <x:c r="F376" s="56" t="n">
        <x:v>1</x:v>
      </x:c>
      <x:c r="G376" s="57" t="n">
        <x:v>2025</x:v>
      </x:c>
      <x:c r="H376" s="47" t="n">
        <x:v>46202</x:v>
      </x:c>
      <x:c r="I376" t="str">
        <x:v>9개 월차 만근 소급</x:v>
      </x:c>
      <x:c r="J376" s="58" t="n">
        <x:v>46202</x:v>
      </x:c>
    </x:row>
    <x:row r="377">
      <x:c r="A377" t="str">
        <x:v>fd9cb6d9-5aff-457e-82d6-38ccf7e6758d</x:v>
      </x:c>
      <x:c r="B377" t="str">
        <x:v>수연의원</x:v>
      </x:c>
      <x:c r="C377" t="str">
        <x:v>박수연</x:v>
      </x:c>
      <x:c r="D377" t="str">
        <x:v>annual</x:v>
      </x:c>
      <x:c r="E377" t="str">
        <x:v>annual:1</x:v>
      </x:c>
      <x:c r="F377" s="56" t="n">
        <x:v>15</x:v>
      </x:c>
      <x:c r="G377" s="57" t="n">
        <x:v>2026</x:v>
      </x:c>
      <x:c r="H377" s="47" t="n">
        <x:v>46131</x:v>
      </x:c>
      <x:c r="I377" t="str">
        <x:v>만 1년차 연차 15일 자동부여</x:v>
      </x:c>
      <x:c r="J377" s="58" t="n">
        <x:v>46131</x:v>
      </x:c>
    </x:row>
    <x:row r="378">
      <x:c r="A378" t="str">
        <x:v>fd9cb6d9-5aff-457e-82d6-38ccf7e6758d</x:v>
      </x:c>
      <x:c r="B378" t="str">
        <x:v>수연의원</x:v>
      </x:c>
      <x:c r="C378" t="str">
        <x:v>박수연</x:v>
      </x:c>
      <x:c r="D378" t="str">
        <x:v>monthly</x:v>
      </x:c>
      <x:c r="E378" t="str">
        <x:v>2026-01</x:v>
      </x:c>
      <x:c r="F378" s="56" t="n">
        <x:v>1</x:v>
      </x:c>
      <x:c r="G378" s="57" t="n">
        <x:v>2026</x:v>
      </x:c>
      <x:c r="H378" s="47" t="n">
        <x:v>46202</x:v>
      </x:c>
      <x:c r="I378" t="str">
        <x:v>10개 월차 만근 소급</x:v>
      </x:c>
      <x:c r="J378" s="58" t="n">
        <x:v>46202</x:v>
      </x:c>
    </x:row>
    <x:row r="379">
      <x:c r="A379" t="str">
        <x:v>fd9cb6d9-5aff-457e-82d6-38ccf7e6758d</x:v>
      </x:c>
      <x:c r="B379" t="str">
        <x:v>수연의원</x:v>
      </x:c>
      <x:c r="C379" t="str">
        <x:v>박수연</x:v>
      </x:c>
      <x:c r="D379" t="str">
        <x:v>monthly</x:v>
      </x:c>
      <x:c r="E379" t="str">
        <x:v>2026-02</x:v>
      </x:c>
      <x:c r="F379" s="56" t="n">
        <x:v>1</x:v>
      </x:c>
      <x:c r="G379" s="57" t="n">
        <x:v>2026</x:v>
      </x:c>
      <x:c r="H379" s="47" t="n">
        <x:v>46202</x:v>
      </x:c>
      <x:c r="I379" t="str">
        <x:v>11개 월차 만근 소급</x:v>
      </x:c>
      <x:c r="J379" s="58" t="n">
        <x:v>46202</x:v>
      </x:c>
    </x:row>
    <x:row r="380">
      <x:c r="A380" t="str">
        <x:v>e0d8a099-4530-4337-917c-0af69883a4fa</x:v>
      </x:c>
      <x:c r="B380" t="str">
        <x:v>수연의원</x:v>
      </x:c>
      <x:c r="C380" t="str">
        <x:v>박영민</x:v>
      </x:c>
      <x:c r="D380" t="str">
        <x:v>monthly</x:v>
      </x:c>
      <x:c r="E380" t="str">
        <x:v>2025-11</x:v>
      </x:c>
      <x:c r="F380" s="56" t="n">
        <x:v>1</x:v>
      </x:c>
      <x:c r="G380" s="57" t="n">
        <x:v>2026</x:v>
      </x:c>
      <x:c r="H380" s="47" t="n">
        <x:v>46008</x:v>
      </x:c>
      <x:c r="I380" t="str">
        <x:v>1개월차 만근 +1일</x:v>
      </x:c>
      <x:c r="J380" s="58" t="n">
        <x:v>46008</x:v>
      </x:c>
    </x:row>
    <x:row r="381">
      <x:c r="A381" t="str">
        <x:v>e0d8a099-4530-4337-917c-0af69883a4fa</x:v>
      </x:c>
      <x:c r="B381" t="str">
        <x:v>수연의원</x:v>
      </x:c>
      <x:c r="C381" t="str">
        <x:v>박영민</x:v>
      </x:c>
      <x:c r="D381" t="str">
        <x:v>monthly</x:v>
      </x:c>
      <x:c r="E381" t="str">
        <x:v>2025-12</x:v>
      </x:c>
      <x:c r="F381" s="56" t="n">
        <x:v>1</x:v>
      </x:c>
      <x:c r="G381" s="57" t="n">
        <x:v>2026</x:v>
      </x:c>
      <x:c r="H381" s="47" t="n">
        <x:v>46039</x:v>
      </x:c>
      <x:c r="I381" t="str">
        <x:v>2개월차 만근 +1일</x:v>
      </x:c>
      <x:c r="J381" s="58" t="n">
        <x:v>46039</x:v>
      </x:c>
    </x:row>
    <x:row r="382">
      <x:c r="A382" t="str">
        <x:v>e0d8a099-4530-4337-917c-0af69883a4fa</x:v>
      </x:c>
      <x:c r="B382" t="str">
        <x:v>수연의원</x:v>
      </x:c>
      <x:c r="C382" t="str">
        <x:v>박영민</x:v>
      </x:c>
      <x:c r="D382" t="str">
        <x:v>monthly</x:v>
      </x:c>
      <x:c r="E382" t="str">
        <x:v>2026-01</x:v>
      </x:c>
      <x:c r="F382" s="56" t="n">
        <x:v>1</x:v>
      </x:c>
      <x:c r="G382" s="57" t="n">
        <x:v>2026</x:v>
      </x:c>
      <x:c r="H382" s="47" t="n">
        <x:v>46070</x:v>
      </x:c>
      <x:c r="I382" t="str">
        <x:v>3개월차 만근 +1일</x:v>
      </x:c>
      <x:c r="J382" s="58" t="n">
        <x:v>46070</x:v>
      </x:c>
    </x:row>
    <x:row r="383">
      <x:c r="A383" t="str">
        <x:v>e0d8a099-4530-4337-917c-0af69883a4fa</x:v>
      </x:c>
      <x:c r="B383" t="str">
        <x:v>수연의원</x:v>
      </x:c>
      <x:c r="C383" t="str">
        <x:v>박영민</x:v>
      </x:c>
      <x:c r="D383" t="str">
        <x:v>monthly</x:v>
      </x:c>
      <x:c r="E383" t="str">
        <x:v>2026-02</x:v>
      </x:c>
      <x:c r="F383" s="56" t="n">
        <x:v>1</x:v>
      </x:c>
      <x:c r="G383" s="57" t="n">
        <x:v>2026</x:v>
      </x:c>
      <x:c r="H383" s="47" t="n">
        <x:v>46098</x:v>
      </x:c>
      <x:c r="I383" t="str">
        <x:v>4개월차 만근 +1일</x:v>
      </x:c>
      <x:c r="J383" s="58" t="n">
        <x:v>46098</x:v>
      </x:c>
    </x:row>
    <x:row r="384">
      <x:c r="A384" t="str">
        <x:v>e0d8a099-4530-4337-917c-0af69883a4fa</x:v>
      </x:c>
      <x:c r="B384" t="str">
        <x:v>수연의원</x:v>
      </x:c>
      <x:c r="C384" t="str">
        <x:v>박영민</x:v>
      </x:c>
      <x:c r="D384" t="str">
        <x:v>monthly</x:v>
      </x:c>
      <x:c r="E384" t="str">
        <x:v>2026-03</x:v>
      </x:c>
      <x:c r="F384" s="56" t="n">
        <x:v>1</x:v>
      </x:c>
      <x:c r="G384" s="57" t="n">
        <x:v>2026</x:v>
      </x:c>
      <x:c r="H384" s="47" t="n">
        <x:v>46129</x:v>
      </x:c>
      <x:c r="I384" t="str">
        <x:v>5개월차 만근 +1일</x:v>
      </x:c>
      <x:c r="J384" s="58" t="n">
        <x:v>46129</x:v>
      </x:c>
    </x:row>
    <x:row r="385">
      <x:c r="A385" t="str">
        <x:v>e0d8a099-4530-4337-917c-0af69883a4fa</x:v>
      </x:c>
      <x:c r="B385" t="str">
        <x:v>수연의원</x:v>
      </x:c>
      <x:c r="C385" t="str">
        <x:v>박영민</x:v>
      </x:c>
      <x:c r="D385" t="str">
        <x:v>monthly</x:v>
      </x:c>
      <x:c r="E385" t="str">
        <x:v>2026-04</x:v>
      </x:c>
      <x:c r="F385" s="56" t="n">
        <x:v>1</x:v>
      </x:c>
      <x:c r="G385" s="57" t="n">
        <x:v>2026</x:v>
      </x:c>
      <x:c r="H385" s="47" t="n">
        <x:v>46159</x:v>
      </x:c>
      <x:c r="I385" t="str">
        <x:v>6개월차 만근 +1일</x:v>
      </x:c>
      <x:c r="J385" s="58" t="n">
        <x:v>46159</x:v>
      </x:c>
    </x:row>
    <x:row r="386">
      <x:c r="A386" t="str">
        <x:v>e0d8a099-4530-4337-917c-0af69883a4fa</x:v>
      </x:c>
      <x:c r="B386" t="str">
        <x:v>수연의원</x:v>
      </x:c>
      <x:c r="C386" t="str">
        <x:v>박영민</x:v>
      </x:c>
      <x:c r="D386" t="str">
        <x:v>monthly</x:v>
      </x:c>
      <x:c r="E386" t="str">
        <x:v>2026-05</x:v>
      </x:c>
      <x:c r="F386" s="56" t="n">
        <x:v>1</x:v>
      </x:c>
      <x:c r="G386" s="57" t="n">
        <x:v>2026</x:v>
      </x:c>
      <x:c r="H386" s="47" t="n">
        <x:v>46190</x:v>
      </x:c>
      <x:c r="I386" t="str">
        <x:v>7개월차 만근 +1일</x:v>
      </x:c>
      <x:c r="J386" s="58" t="n">
        <x:v>46190</x:v>
      </x:c>
    </x:row>
    <x:row r="387">
      <x:c r="A387" t="str">
        <x:v>47055a68-ed68-4832-9319-99a5c70084da</x:v>
      </x:c>
      <x:c r="B387" t="str">
        <x:v>수연의원</x:v>
      </x:c>
      <x:c r="C387" t="str">
        <x:v>정경란</x:v>
      </x:c>
      <x:c r="D387" t="str">
        <x:v>monthly</x:v>
      </x:c>
      <x:c r="E387" t="str">
        <x:v>2024-06</x:v>
      </x:c>
      <x:c r="F387" s="56" t="n">
        <x:v>1</x:v>
      </x:c>
      <x:c r="G387" s="57" t="n">
        <x:v>2024</x:v>
      </x:c>
      <x:c r="H387" s="47" t="n">
        <x:v>46202</x:v>
      </x:c>
      <x:c r="I387" t="str">
        <x:v>1개 월차 만근 소급</x:v>
      </x:c>
      <x:c r="J387" s="58" t="n">
        <x:v>46202</x:v>
      </x:c>
    </x:row>
    <x:row r="388">
      <x:c r="A388" t="str">
        <x:v>47055a68-ed68-4832-9319-99a5c70084da</x:v>
      </x:c>
      <x:c r="B388" t="str">
        <x:v>수연의원</x:v>
      </x:c>
      <x:c r="C388" t="str">
        <x:v>정경란</x:v>
      </x:c>
      <x:c r="D388" t="str">
        <x:v>monthly</x:v>
      </x:c>
      <x:c r="E388" t="str">
        <x:v>2024-07</x:v>
      </x:c>
      <x:c r="F388" s="56" t="n">
        <x:v>1</x:v>
      </x:c>
      <x:c r="G388" s="57" t="n">
        <x:v>2024</x:v>
      </x:c>
      <x:c r="H388" s="47" t="n">
        <x:v>46202</x:v>
      </x:c>
      <x:c r="I388" t="str">
        <x:v>2개 월차 만근 소급</x:v>
      </x:c>
      <x:c r="J388" s="58" t="n">
        <x:v>46202</x:v>
      </x:c>
    </x:row>
    <x:row r="389">
      <x:c r="A389" t="str">
        <x:v>47055a68-ed68-4832-9319-99a5c70084da</x:v>
      </x:c>
      <x:c r="B389" t="str">
        <x:v>수연의원</x:v>
      </x:c>
      <x:c r="C389" t="str">
        <x:v>정경란</x:v>
      </x:c>
      <x:c r="D389" t="str">
        <x:v>monthly</x:v>
      </x:c>
      <x:c r="E389" t="str">
        <x:v>2024-08</x:v>
      </x:c>
      <x:c r="F389" s="56" t="n">
        <x:v>1</x:v>
      </x:c>
      <x:c r="G389" s="57" t="n">
        <x:v>2024</x:v>
      </x:c>
      <x:c r="H389" s="47" t="n">
        <x:v>46202</x:v>
      </x:c>
      <x:c r="I389" t="str">
        <x:v>3개 월차 만근 소급</x:v>
      </x:c>
      <x:c r="J389" s="58" t="n">
        <x:v>46202</x:v>
      </x:c>
    </x:row>
    <x:row r="390">
      <x:c r="A390" t="str">
        <x:v>47055a68-ed68-4832-9319-99a5c70084da</x:v>
      </x:c>
      <x:c r="B390" t="str">
        <x:v>수연의원</x:v>
      </x:c>
      <x:c r="C390" t="str">
        <x:v>정경란</x:v>
      </x:c>
      <x:c r="D390" t="str">
        <x:v>monthly</x:v>
      </x:c>
      <x:c r="E390" t="str">
        <x:v>2024-09</x:v>
      </x:c>
      <x:c r="F390" s="56" t="n">
        <x:v>1</x:v>
      </x:c>
      <x:c r="G390" s="57" t="n">
        <x:v>2024</x:v>
      </x:c>
      <x:c r="H390" s="47" t="n">
        <x:v>46202</x:v>
      </x:c>
      <x:c r="I390" t="str">
        <x:v>4개 월차 만근 소급</x:v>
      </x:c>
      <x:c r="J390" s="58" t="n">
        <x:v>46202</x:v>
      </x:c>
    </x:row>
    <x:row r="391">
      <x:c r="A391" t="str">
        <x:v>47055a68-ed68-4832-9319-99a5c70084da</x:v>
      </x:c>
      <x:c r="B391" t="str">
        <x:v>수연의원</x:v>
      </x:c>
      <x:c r="C391" t="str">
        <x:v>정경란</x:v>
      </x:c>
      <x:c r="D391" t="str">
        <x:v>monthly</x:v>
      </x:c>
      <x:c r="E391" t="str">
        <x:v>2024-10</x:v>
      </x:c>
      <x:c r="F391" s="56" t="n">
        <x:v>1</x:v>
      </x:c>
      <x:c r="G391" s="57" t="n">
        <x:v>2024</x:v>
      </x:c>
      <x:c r="H391" s="47" t="n">
        <x:v>46202</x:v>
      </x:c>
      <x:c r="I391" t="str">
        <x:v>5개 월차 만근 소급</x:v>
      </x:c>
      <x:c r="J391" s="58" t="n">
        <x:v>46202</x:v>
      </x:c>
    </x:row>
    <x:row r="392">
      <x:c r="A392" t="str">
        <x:v>47055a68-ed68-4832-9319-99a5c70084da</x:v>
      </x:c>
      <x:c r="B392" t="str">
        <x:v>수연의원</x:v>
      </x:c>
      <x:c r="C392" t="str">
        <x:v>정경란</x:v>
      </x:c>
      <x:c r="D392" t="str">
        <x:v>monthly</x:v>
      </x:c>
      <x:c r="E392" t="str">
        <x:v>2024-11</x:v>
      </x:c>
      <x:c r="F392" s="56" t="n">
        <x:v>1</x:v>
      </x:c>
      <x:c r="G392" s="57" t="n">
        <x:v>2024</x:v>
      </x:c>
      <x:c r="H392" s="47" t="n">
        <x:v>46202</x:v>
      </x:c>
      <x:c r="I392" t="str">
        <x:v>6개 월차 만근 소급</x:v>
      </x:c>
      <x:c r="J392" s="58" t="n">
        <x:v>46202</x:v>
      </x:c>
    </x:row>
    <x:row r="393">
      <x:c r="A393" t="str">
        <x:v>47055a68-ed68-4832-9319-99a5c70084da</x:v>
      </x:c>
      <x:c r="B393" t="str">
        <x:v>수연의원</x:v>
      </x:c>
      <x:c r="C393" t="str">
        <x:v>정경란</x:v>
      </x:c>
      <x:c r="D393" t="str">
        <x:v>monthly</x:v>
      </x:c>
      <x:c r="E393" t="str">
        <x:v>2024-12</x:v>
      </x:c>
      <x:c r="F393" s="56" t="n">
        <x:v>1</x:v>
      </x:c>
      <x:c r="G393" s="57" t="n">
        <x:v>2024</x:v>
      </x:c>
      <x:c r="H393" s="47" t="n">
        <x:v>46202</x:v>
      </x:c>
      <x:c r="I393" t="str">
        <x:v>7개 월차 만근 소급</x:v>
      </x:c>
      <x:c r="J393" s="58" t="n">
        <x:v>46202</x:v>
      </x:c>
    </x:row>
    <x:row r="394">
      <x:c r="A394" t="str">
        <x:v>47055a68-ed68-4832-9319-99a5c70084da</x:v>
      </x:c>
      <x:c r="B394" t="str">
        <x:v>수연의원</x:v>
      </x:c>
      <x:c r="C394" t="str">
        <x:v>정경란</x:v>
      </x:c>
      <x:c r="D394" t="str">
        <x:v>monthly</x:v>
      </x:c>
      <x:c r="E394" t="str">
        <x:v>2025-01</x:v>
      </x:c>
      <x:c r="F394" s="56" t="n">
        <x:v>1</x:v>
      </x:c>
      <x:c r="G394" s="57" t="n">
        <x:v>2025</x:v>
      </x:c>
      <x:c r="H394" s="47" t="n">
        <x:v>46202</x:v>
      </x:c>
      <x:c r="I394" t="str">
        <x:v>8개 월차 만근 소급</x:v>
      </x:c>
      <x:c r="J394" s="58" t="n">
        <x:v>46202</x:v>
      </x:c>
    </x:row>
    <x:row r="395">
      <x:c r="A395" t="str">
        <x:v>47055a68-ed68-4832-9319-99a5c70084da</x:v>
      </x:c>
      <x:c r="B395" t="str">
        <x:v>수연의원</x:v>
      </x:c>
      <x:c r="C395" t="str">
        <x:v>정경란</x:v>
      </x:c>
      <x:c r="D395" t="str">
        <x:v>monthly</x:v>
      </x:c>
      <x:c r="E395" t="str">
        <x:v>2025-02</x:v>
      </x:c>
      <x:c r="F395" s="56" t="n">
        <x:v>1</x:v>
      </x:c>
      <x:c r="G395" s="57" t="n">
        <x:v>2025</x:v>
      </x:c>
      <x:c r="H395" s="47" t="n">
        <x:v>46202</x:v>
      </x:c>
      <x:c r="I395" t="str">
        <x:v>9개 월차 만근 소급</x:v>
      </x:c>
      <x:c r="J395" s="58" t="n">
        <x:v>46202</x:v>
      </x:c>
    </x:row>
    <x:row r="396">
      <x:c r="A396" t="str">
        <x:v>47055a68-ed68-4832-9319-99a5c70084da</x:v>
      </x:c>
      <x:c r="B396" t="str">
        <x:v>수연의원</x:v>
      </x:c>
      <x:c r="C396" t="str">
        <x:v>정경란</x:v>
      </x:c>
      <x:c r="D396" t="str">
        <x:v>monthly</x:v>
      </x:c>
      <x:c r="E396" t="str">
        <x:v>2025-03</x:v>
      </x:c>
      <x:c r="F396" s="56" t="n">
        <x:v>1</x:v>
      </x:c>
      <x:c r="G396" s="57" t="n">
        <x:v>2025</x:v>
      </x:c>
      <x:c r="H396" s="47" t="n">
        <x:v>46202</x:v>
      </x:c>
      <x:c r="I396" t="str">
        <x:v>10개 월차 만근 소급</x:v>
      </x:c>
      <x:c r="J396" s="58" t="n">
        <x:v>46202</x:v>
      </x:c>
    </x:row>
    <x:row r="397">
      <x:c r="A397" t="str">
        <x:v>47055a68-ed68-4832-9319-99a5c70084da</x:v>
      </x:c>
      <x:c r="B397" t="str">
        <x:v>수연의원</x:v>
      </x:c>
      <x:c r="C397" t="str">
        <x:v>정경란</x:v>
      </x:c>
      <x:c r="D397" t="str">
        <x:v>monthly</x:v>
      </x:c>
      <x:c r="E397" t="str">
        <x:v>2025-04</x:v>
      </x:c>
      <x:c r="F397" s="56" t="n">
        <x:v>1</x:v>
      </x:c>
      <x:c r="G397" s="57" t="n">
        <x:v>2025</x:v>
      </x:c>
      <x:c r="H397" s="47" t="n">
        <x:v>46202</x:v>
      </x:c>
      <x:c r="I397" t="str">
        <x:v>11개 월차 만근 소급</x:v>
      </x:c>
      <x:c r="J397" s="58" t="n">
        <x:v>46202</x:v>
      </x:c>
    </x:row>
    <x:row r="398">
      <x:c r="A398" t="str">
        <x:v>47055a68-ed68-4832-9319-99a5c70084da</x:v>
      </x:c>
      <x:c r="B398" t="str">
        <x:v>수연의원</x:v>
      </x:c>
      <x:c r="C398" t="str">
        <x:v>정경란</x:v>
      </x:c>
      <x:c r="D398" t="str">
        <x:v>annual</x:v>
      </x:c>
      <x:c r="E398" t="str">
        <x:v>annual:1</x:v>
      </x:c>
      <x:c r="F398" s="56" t="n">
        <x:v>15</x:v>
      </x:c>
      <x:c r="G398" s="57" t="n">
        <x:v>2026</x:v>
      </x:c>
      <x:c r="H398" s="47" t="n">
        <x:v>45811</x:v>
      </x:c>
      <x:c r="I398" t="str">
        <x:v>만 1년차 연차 15일 자동부여</x:v>
      </x:c>
      <x:c r="J398" s="58" t="n">
        <x:v>45811</x:v>
      </x:c>
    </x:row>
    <x:row r="399">
      <x:c r="A399" t="str">
        <x:v>47055a68-ed68-4832-9319-99a5c70084da</x:v>
      </x:c>
      <x:c r="B399" t="str">
        <x:v>수연의원</x:v>
      </x:c>
      <x:c r="C399" t="str">
        <x:v>정경란</x:v>
      </x:c>
      <x:c r="D399" t="str">
        <x:v>annual</x:v>
      </x:c>
      <x:c r="E399" t="str">
        <x:v>annual:2</x:v>
      </x:c>
      <x:c r="F399" s="56" t="n">
        <x:v>15</x:v>
      </x:c>
      <x:c r="G399" s="57" t="n">
        <x:v>2026</x:v>
      </x:c>
      <x:c r="H399" s="47" t="n">
        <x:v>46176</x:v>
      </x:c>
      <x:c r="I399" t="str">
        <x:v>만 2년차 연차 15일 자동부여</x:v>
      </x:c>
      <x:c r="J399" s="58" t="n">
        <x:v>46176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592fe91323be4b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44" hidden="0" customWidth="1"/>
    <x:col min="10" max="10" width="15" hidden="0" customWidth="1"/>
    <x:col min="11" max="11" width="20" hidden="0" customWidth="1"/>
  </x:cols>
  <x:sheetData>
    <x:row r="1">
      <x:c r="A1" s="54" t="str">
        <x:v>사용 원장 (승인 leave_requests) — 실제 DB 원본 및 차감 계산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</x:row>
    <x:row r="3">
      <x:c r="A3" s="18" t="str">
        <x:v>직원 ID</x:v>
      </x:c>
      <x:c r="B3" s="18" t="str">
        <x:v>회사</x:v>
      </x:c>
      <x:c r="C3" s="18" t="str">
        <x:v>직원명</x:v>
      </x:c>
      <x:c r="D3" s="18" t="str">
        <x:v>휴가유형</x:v>
      </x:c>
      <x:c r="E3" s="18" t="str">
        <x:v>시작일</x:v>
      </x:c>
      <x:c r="F3" s="18" t="str">
        <x:v>종료일</x:v>
      </x:c>
      <x:c r="G3" s="18" t="str">
        <x:v>DB 일수</x:v>
      </x:c>
      <x:c r="H3" s="18" t="str">
        <x:v>상태</x:v>
      </x:c>
      <x:c r="I3" s="18" t="str">
        <x:v>사유</x:v>
      </x:c>
      <x:c r="J3" s="18" t="str">
        <x:v>연차 차감일수</x:v>
      </x:c>
      <x:c r="K3" s="18" t="str">
        <x:v>승인일</x:v>
      </x:c>
    </x:row>
    <x:row r="4">
      <x:c r="A4" t="str">
        <x:v>76ddb717-6f2f-46ee-aa76-1db2ae11f359</x:v>
      </x:c>
      <x:c r="B4" t="str">
        <x:v>SY INC.</x:v>
      </x:c>
      <x:c r="C4" t="str">
        <x:v>김이지</x:v>
      </x:c>
      <x:c r="D4" t="str">
        <x:v>연차</x:v>
      </x:c>
      <x:c r="E4" s="47" t="n">
        <x:v>46098</x:v>
      </x:c>
      <x:c r="F4" s="47" t="n">
        <x:v>46098</x:v>
      </x:c>
      <x:c r="G4" s="56"/>
      <x:c r="H4" t="str">
        <x:v>승인</x:v>
      </x:c>
      <x:c r="I4" t="str">
        <x:v>연차관리대장 일괄 반영(2026-05-14)</x:v>
      </x:c>
      <x:c r="J4" s="56" t="n">
        <x:f>IF(OR(ISNUMBER(SEARCH("반차",D4)),ISNUMBER(SEARCH("0.5",D4))),IF(G4&gt;0,G4,0.5),IF(AND(ISNUMBER(SEARCH("연차",D4)),NOT(ISNUMBER(SEARCH("부여",D4)))),IF(G4&lt;&gt;"",G4,MAX(1,F4-E4+1)),0))</x:f>
        <x:v>1</x:v>
      </x:c>
      <x:c r="K4" s="58" t="n">
        <x:v>46156</x:v>
      </x:c>
    </x:row>
    <x:row r="5">
      <x:c r="A5" t="str">
        <x:v>76ddb717-6f2f-46ee-aa76-1db2ae11f359</x:v>
      </x:c>
      <x:c r="B5" t="str">
        <x:v>SY INC.</x:v>
      </x:c>
      <x:c r="C5" t="str">
        <x:v>김이지</x:v>
      </x:c>
      <x:c r="D5" t="str">
        <x:v>연차</x:v>
      </x:c>
      <x:c r="E5" s="47" t="n">
        <x:v>46112</x:v>
      </x:c>
      <x:c r="F5" s="47" t="n">
        <x:v>46112</x:v>
      </x:c>
      <x:c r="G5" s="56"/>
      <x:c r="H5" t="str">
        <x:v>승인</x:v>
      </x:c>
      <x:c r="I5" t="str">
        <x:v>연차신청서</x:v>
      </x:c>
      <x:c r="J5" s="56" t="n">
        <x:f>IF(OR(ISNUMBER(SEARCH("반차",D5)),ISNUMBER(SEARCH("0.5",D5))),IF(G5&gt;0,G5,0.5),IF(AND(ISNUMBER(SEARCH("연차",D5)),NOT(ISNUMBER(SEARCH("부여",D5)))),IF(G5&lt;&gt;"",G5,MAX(1,F5-E5+1)),0))</x:f>
        <x:v>1</x:v>
      </x:c>
      <x:c r="K5" s="58" t="n">
        <x:v>46111</x:v>
      </x:c>
    </x:row>
    <x:row r="6">
      <x:c r="A6" t="str">
        <x:v>76ddb717-6f2f-46ee-aa76-1db2ae11f359</x:v>
      </x:c>
      <x:c r="B6" t="str">
        <x:v>SY INC.</x:v>
      </x:c>
      <x:c r="C6" t="str">
        <x:v>김이지</x:v>
      </x:c>
      <x:c r="D6" t="str">
        <x:v>연차 (1.0)</x:v>
      </x:c>
      <x:c r="E6" s="47" t="n">
        <x:v>46160</x:v>
      </x:c>
      <x:c r="F6" s="47" t="n">
        <x:v>46160</x:v>
      </x:c>
      <x:c r="G6" s="56"/>
      <x:c r="H6" t="str">
        <x:v>승인</x:v>
      </x:c>
      <x:c r="I6" t="str">
        <x:v>개인사유</x:v>
      </x:c>
      <x:c r="J6" s="56" t="n">
        <x:f>IF(OR(ISNUMBER(SEARCH("반차",D6)),ISNUMBER(SEARCH("0.5",D6))),IF(G6&gt;0,G6,0.5),IF(AND(ISNUMBER(SEARCH("연차",D6)),NOT(ISNUMBER(SEARCH("부여",D6)))),IF(G6&lt;&gt;"",G6,MAX(1,F6-E6+1)),0))</x:f>
        <x:v>1</x:v>
      </x:c>
      <x:c r="K6" s="58" t="n">
        <x:v>46160</x:v>
      </x:c>
    </x:row>
    <x:row r="7">
      <x:c r="A7" t="str">
        <x:v>76ddb717-6f2f-46ee-aa76-1db2ae11f359</x:v>
      </x:c>
      <x:c r="B7" t="str">
        <x:v>SY INC.</x:v>
      </x:c>
      <x:c r="C7" t="str">
        <x:v>김이지</x:v>
      </x:c>
      <x:c r="D7" t="str">
        <x:v>연차 (1.0)</x:v>
      </x:c>
      <x:c r="E7" s="47" t="n">
        <x:v>46184</x:v>
      </x:c>
      <x:c r="F7" s="47" t="n">
        <x:v>46184</x:v>
      </x:c>
      <x:c r="G7" s="56"/>
      <x:c r="H7" t="str">
        <x:v>승인</x:v>
      </x:c>
      <x:c r="I7" t="str">
        <x:v>개인사유</x:v>
      </x:c>
      <x:c r="J7" s="56" t="n">
        <x:f>IF(OR(ISNUMBER(SEARCH("반차",D7)),ISNUMBER(SEARCH("0.5",D7))),IF(G7&gt;0,G7,0.5),IF(AND(ISNUMBER(SEARCH("연차",D7)),NOT(ISNUMBER(SEARCH("부여",D7)))),IF(G7&lt;&gt;"",G7,MAX(1,F7-E7+1)),0))</x:f>
        <x:v>1</x:v>
      </x:c>
      <x:c r="K7" s="58" t="n">
        <x:v>46183</x:v>
      </x:c>
    </x:row>
    <x:row r="8">
      <x:c r="A8" t="str">
        <x:v>76ddb717-6f2f-46ee-aa76-1db2ae11f359</x:v>
      </x:c>
      <x:c r="B8" t="str">
        <x:v>SY INC.</x:v>
      </x:c>
      <x:c r="C8" t="str">
        <x:v>김이지</x:v>
      </x:c>
      <x:c r="D8" t="str">
        <x:v>연차 (1.0)</x:v>
      </x:c>
      <x:c r="E8" s="47" t="n">
        <x:v>46195</x:v>
      </x:c>
      <x:c r="F8" s="47" t="n">
        <x:v>46195</x:v>
      </x:c>
      <x:c r="G8" s="56"/>
      <x:c r="H8" t="str">
        <x:v>승인</x:v>
      </x:c>
      <x:c r="I8" t="str">
        <x:v>개인사유로 연차신청합니다.</x:v>
      </x:c>
      <x:c r="J8" s="56" t="n">
        <x:f>IF(OR(ISNUMBER(SEARCH("반차",D8)),ISNUMBER(SEARCH("0.5",D8))),IF(G8&gt;0,G8,0.5),IF(AND(ISNUMBER(SEARCH("연차",D8)),NOT(ISNUMBER(SEARCH("부여",D8)))),IF(G8&lt;&gt;"",G8,MAX(1,F8-E8+1)),0))</x:f>
        <x:v>1</x:v>
      </x:c>
      <x:c r="K8" s="58" t="n">
        <x:v>46190</x:v>
      </x:c>
    </x:row>
    <x:row r="9">
      <x:c r="A9" t="str">
        <x:v>76ddb717-6f2f-46ee-aa76-1db2ae11f359</x:v>
      </x:c>
      <x:c r="B9" t="str">
        <x:v>SY INC.</x:v>
      </x:c>
      <x:c r="C9" t="str">
        <x:v>김이지</x:v>
      </x:c>
      <x:c r="D9" t="str">
        <x:v>연차 (1.0)</x:v>
      </x:c>
      <x:c r="E9" s="47" t="n">
        <x:v>46205</x:v>
      </x:c>
      <x:c r="F9" s="47" t="n">
        <x:v>46206</x:v>
      </x:c>
      <x:c r="G9" s="56" t="n">
        <x:v>2</x:v>
      </x:c>
      <x:c r="H9" t="str">
        <x:v>승인</x:v>
      </x:c>
      <x:c r="I9" t="str">
        <x:v>개인사유로 2일간 연차신청합니다.</x:v>
      </x:c>
      <x:c r="J9" s="56" t="n">
        <x:f>IF(OR(ISNUMBER(SEARCH("반차",D9)),ISNUMBER(SEARCH("0.5",D9))),IF(G9&gt;0,G9,0.5),IF(AND(ISNUMBER(SEARCH("연차",D9)),NOT(ISNUMBER(SEARCH("부여",D9)))),IF(G9&lt;&gt;"",G9,MAX(1,F9-E9+1)),0))</x:f>
        <x:v>2</x:v>
      </x:c>
      <x:c r="K9" s="58" t="n">
        <x:v>46205</x:v>
      </x:c>
    </x:row>
    <x:row r="10">
      <x:c r="A10" t="str">
        <x:v>76ddb717-6f2f-46ee-aa76-1db2ae11f359</x:v>
      </x:c>
      <x:c r="B10" t="str">
        <x:v>SY INC.</x:v>
      </x:c>
      <x:c r="C10" t="str">
        <x:v>김이지</x:v>
      </x:c>
      <x:c r="D10" t="str">
        <x:v>연차</x:v>
      </x:c>
      <x:c r="E10" s="47" t="n">
        <x:v>46223</x:v>
      </x:c>
      <x:c r="F10" s="47" t="n">
        <x:v>46223</x:v>
      </x:c>
      <x:c r="G10" s="56" t="n">
        <x:v>1</x:v>
      </x:c>
      <x:c r="H10" t="str">
        <x:v>승인</x:v>
      </x:c>
      <x:c r="I10" t="str">
        <x:v>개인사유로 1일 연차신청합니다.</x:v>
      </x:c>
      <x:c r="J10" s="56" t="n">
        <x:f>IF(OR(ISNUMBER(SEARCH("반차",D10)),ISNUMBER(SEARCH("0.5",D10))),IF(G10&gt;0,G10,0.5),IF(AND(ISNUMBER(SEARCH("연차",D10)),NOT(ISNUMBER(SEARCH("부여",D10)))),IF(G10&lt;&gt;"",G10,MAX(1,F10-E10+1)),0))</x:f>
        <x:v>1</x:v>
      </x:c>
      <x:c r="K10" s="58" t="n">
        <x:v>46221</x:v>
      </x:c>
    </x:row>
    <x:row r="11">
      <x:c r="A11" t="str">
        <x:v>0cda84a2-4b9e-4ef9-a886-973a48c4d97b</x:v>
      </x:c>
      <x:c r="B11" t="str">
        <x:v>SY INC.</x:v>
      </x:c>
      <x:c r="C11" t="str">
        <x:v>백민</x:v>
      </x:c>
      <x:c r="D11" t="str">
        <x:v>연차</x:v>
      </x:c>
      <x:c r="E11" s="47" t="n">
        <x:v>45930</x:v>
      </x:c>
      <x:c r="F11" s="47" t="n">
        <x:v>45930</x:v>
      </x:c>
      <x:c r="G11" s="56"/>
      <x:c r="H11" t="str">
        <x:v>승인</x:v>
      </x:c>
      <x:c r="I11" t="str">
        <x:v>연차관리대장 일괄 반영(2026-05-14)</x:v>
      </x:c>
      <x:c r="J11" s="56" t="n">
        <x:f>IF(OR(ISNUMBER(SEARCH("반차",D11)),ISNUMBER(SEARCH("0.5",D11))),IF(G11&gt;0,G11,0.5),IF(AND(ISNUMBER(SEARCH("연차",D11)),NOT(ISNUMBER(SEARCH("부여",D11)))),IF(G11&lt;&gt;"",G11,MAX(1,F11-E11+1)),0))</x:f>
        <x:v>1</x:v>
      </x:c>
      <x:c r="K11" s="58" t="n">
        <x:v>46156</x:v>
      </x:c>
    </x:row>
    <x:row r="12">
      <x:c r="A12" t="str">
        <x:v>0cda84a2-4b9e-4ef9-a886-973a48c4d97b</x:v>
      </x:c>
      <x:c r="B12" t="str">
        <x:v>SY INC.</x:v>
      </x:c>
      <x:c r="C12" t="str">
        <x:v>백민</x:v>
      </x:c>
      <x:c r="D12" t="str">
        <x:v>연차</x:v>
      </x:c>
      <x:c r="E12" s="47" t="n">
        <x:v>45999</x:v>
      </x:c>
      <x:c r="F12" s="47" t="n">
        <x:v>45999</x:v>
      </x:c>
      <x:c r="G12" s="56"/>
      <x:c r="H12" t="str">
        <x:v>승인</x:v>
      </x:c>
      <x:c r="I12" t="str">
        <x:v>연차관리대장 일괄 반영(2026-05-14)</x:v>
      </x:c>
      <x:c r="J12" s="56" t="n">
        <x:f>IF(OR(ISNUMBER(SEARCH("반차",D12)),ISNUMBER(SEARCH("0.5",D12))),IF(G12&gt;0,G12,0.5),IF(AND(ISNUMBER(SEARCH("연차",D12)),NOT(ISNUMBER(SEARCH("부여",D12)))),IF(G12&lt;&gt;"",G12,MAX(1,F12-E12+1)),0))</x:f>
        <x:v>1</x:v>
      </x:c>
      <x:c r="K12" s="58" t="n">
        <x:v>46156</x:v>
      </x:c>
    </x:row>
    <x:row r="13">
      <x:c r="A13" t="str">
        <x:v>0cda84a2-4b9e-4ef9-a886-973a48c4d97b</x:v>
      </x:c>
      <x:c r="B13" t="str">
        <x:v>SY INC.</x:v>
      </x:c>
      <x:c r="C13" t="str">
        <x:v>백민</x:v>
      </x:c>
      <x:c r="D13" t="str">
        <x:v>연차</x:v>
      </x:c>
      <x:c r="E13" s="47" t="n">
        <x:v>46024</x:v>
      </x:c>
      <x:c r="F13" s="47" t="n">
        <x:v>46024</x:v>
      </x:c>
      <x:c r="G13" s="56"/>
      <x:c r="H13" t="str">
        <x:v>승인</x:v>
      </x:c>
      <x:c r="I13" t="str">
        <x:v>연차관리대장 일괄 반영(2026-05-14)</x:v>
      </x:c>
      <x:c r="J13" s="56" t="n">
        <x:f>IF(OR(ISNUMBER(SEARCH("반차",D13)),ISNUMBER(SEARCH("0.5",D13))),IF(G13&gt;0,G13,0.5),IF(AND(ISNUMBER(SEARCH("연차",D13)),NOT(ISNUMBER(SEARCH("부여",D13)))),IF(G13&lt;&gt;"",G13,MAX(1,F13-E13+1)),0))</x:f>
        <x:v>1</x:v>
      </x:c>
      <x:c r="K13" s="58" t="n">
        <x:v>46156</x:v>
      </x:c>
    </x:row>
    <x:row r="14">
      <x:c r="A14" t="str">
        <x:v>0cda84a2-4b9e-4ef9-a886-973a48c4d97b</x:v>
      </x:c>
      <x:c r="B14" t="str">
        <x:v>SY INC.</x:v>
      </x:c>
      <x:c r="C14" t="str">
        <x:v>백민</x:v>
      </x:c>
      <x:c r="D14" t="str">
        <x:v>연차 (1.0)</x:v>
      </x:c>
      <x:c r="E14" s="47" t="n">
        <x:v>46122</x:v>
      </x:c>
      <x:c r="F14" s="47" t="n">
        <x:v>46122</x:v>
      </x:c>
      <x:c r="G14" s="56"/>
      <x:c r="H14" t="str">
        <x:v>승인</x:v>
      </x:c>
      <x:c r="I14" t="str">
        <x:v>개인용무</x:v>
      </x:c>
      <x:c r="J14" s="56" t="n">
        <x:f>IF(OR(ISNUMBER(SEARCH("반차",D14)),ISNUMBER(SEARCH("0.5",D14))),IF(G14&gt;0,G14,0.5),IF(AND(ISNUMBER(SEARCH("연차",D14)),NOT(ISNUMBER(SEARCH("부여",D14)))),IF(G14&lt;&gt;"",G14,MAX(1,F14-E14+1)),0))</x:f>
        <x:v>1</x:v>
      </x:c>
      <x:c r="K14" s="58" t="n">
        <x:v>46115</x:v>
      </x:c>
    </x:row>
    <x:row r="15">
      <x:c r="A15" t="str">
        <x:v>0cda84a2-4b9e-4ef9-a886-973a48c4d97b</x:v>
      </x:c>
      <x:c r="B15" t="str">
        <x:v>SY INC.</x:v>
      </x:c>
      <x:c r="C15" t="str">
        <x:v>백민</x:v>
      </x:c>
      <x:c r="D15" t="str">
        <x:v>연차 (1.0)</x:v>
      </x:c>
      <x:c r="E15" s="47" t="n">
        <x:v>46195</x:v>
      </x:c>
      <x:c r="F15" s="47" t="n">
        <x:v>46195</x:v>
      </x:c>
      <x:c r="G15" s="56"/>
      <x:c r="H15" t="str">
        <x:v>승인</x:v>
      </x:c>
      <x:c r="I15" t="str">
        <x:v>개인 사정으로 인해 연차 신청합니다.</x:v>
      </x:c>
      <x:c r="J15" s="56" t="n">
        <x:f>IF(OR(ISNUMBER(SEARCH("반차",D15)),ISNUMBER(SEARCH("0.5",D15))),IF(G15&gt;0,G15,0.5),IF(AND(ISNUMBER(SEARCH("연차",D15)),NOT(ISNUMBER(SEARCH("부여",D15)))),IF(G15&lt;&gt;"",G15,MAX(1,F15-E15+1)),0))</x:f>
        <x:v>1</x:v>
      </x:c>
      <x:c r="K15" s="58" t="n">
        <x:v>46190</x:v>
      </x:c>
    </x:row>
    <x:row r="16">
      <x:c r="A16" t="str">
        <x:v>0cda84a2-4b9e-4ef9-a886-973a48c4d97b</x:v>
      </x:c>
      <x:c r="B16" t="str">
        <x:v>SY INC.</x:v>
      </x:c>
      <x:c r="C16" t="str">
        <x:v>백민</x:v>
      </x:c>
      <x:c r="D16" t="str">
        <x:v>연차 (1.0)</x:v>
      </x:c>
      <x:c r="E16" s="47" t="n">
        <x:v>46213</x:v>
      </x:c>
      <x:c r="F16" s="47" t="n">
        <x:v>46213</x:v>
      </x:c>
      <x:c r="G16" s="56" t="n">
        <x:v>1</x:v>
      </x:c>
      <x:c r="H16" t="str">
        <x:v>승인</x:v>
      </x:c>
      <x:c r="I16" t="str">
        <x:v>사유 : 개인 사유</x:v>
      </x:c>
      <x:c r="J16" s="56" t="n">
        <x:f>IF(OR(ISNUMBER(SEARCH("반차",D16)),ISNUMBER(SEARCH("0.5",D16))),IF(G16&gt;0,G16,0.5),IF(AND(ISNUMBER(SEARCH("연차",D16)),NOT(ISNUMBER(SEARCH("부여",D16)))),IF(G16&lt;&gt;"",G16,MAX(1,F16-E16+1)),0))</x:f>
        <x:v>1</x:v>
      </x:c>
      <x:c r="K16" s="58" t="n">
        <x:v>46207</x:v>
      </x:c>
    </x:row>
    <x:row r="17">
      <x:c r="A17" t="str">
        <x:v>0cda84a2-4b9e-4ef9-a886-973a48c4d97b</x:v>
      </x:c>
      <x:c r="B17" t="str">
        <x:v>SY INC.</x:v>
      </x:c>
      <x:c r="C17" t="str">
        <x:v>백민</x:v>
      </x:c>
      <x:c r="D17" t="str">
        <x:v>연차 (1.0)</x:v>
      </x:c>
      <x:c r="E17" s="47" t="n">
        <x:v>46216</x:v>
      </x:c>
      <x:c r="F17" s="47" t="n">
        <x:v>46216</x:v>
      </x:c>
      <x:c r="G17" s="56" t="n">
        <x:v>1</x:v>
      </x:c>
      <x:c r="H17" t="str">
        <x:v>승인</x:v>
      </x:c>
      <x:c r="I17" t="str">
        <x:v>사유 : 개인 사유</x:v>
      </x:c>
      <x:c r="J17" s="56" t="n">
        <x:f>IF(OR(ISNUMBER(SEARCH("반차",D17)),ISNUMBER(SEARCH("0.5",D17))),IF(G17&gt;0,G17,0.5),IF(AND(ISNUMBER(SEARCH("연차",D17)),NOT(ISNUMBER(SEARCH("부여",D17)))),IF(G17&lt;&gt;"",G17,MAX(1,F17-E17+1)),0))</x:f>
        <x:v>1</x:v>
      </x:c>
      <x:c r="K17" s="58" t="n">
        <x:v>46207</x:v>
      </x:c>
    </x:row>
    <x:row r="18">
      <x:c r="A18" t="str">
        <x:v>0cda84a2-4b9e-4ef9-a886-973a48c4d97b</x:v>
      </x:c>
      <x:c r="B18" t="str">
        <x:v>SY INC.</x:v>
      </x:c>
      <x:c r="C18" t="str">
        <x:v>백민</x:v>
      </x:c>
      <x:c r="D18" t="str">
        <x:v>연차 (1.0)</x:v>
      </x:c>
      <x:c r="E18" s="47" t="n">
        <x:v>46234</x:v>
      </x:c>
      <x:c r="F18" s="47" t="n">
        <x:v>46234</x:v>
      </x:c>
      <x:c r="G18" s="56" t="n">
        <x:v>1</x:v>
      </x:c>
      <x:c r="H18" t="str">
        <x:v>승인</x:v>
      </x:c>
      <x:c r="I18" t="str">
        <x:v>사유 : 개인 사유</x:v>
      </x:c>
      <x:c r="J18" s="56" t="n">
        <x:f>IF(OR(ISNUMBER(SEARCH("반차",D18)),ISNUMBER(SEARCH("0.5",D18))),IF(G18&gt;0,G18,0.5),IF(AND(ISNUMBER(SEARCH("연차",D18)),NOT(ISNUMBER(SEARCH("부여",D18)))),IF(G18&lt;&gt;"",G18,MAX(1,F18-E18+1)),0))</x:f>
        <x:v>1</x:v>
      </x:c>
      <x:c r="K18" s="58" t="n">
        <x:v>46207</x:v>
      </x:c>
    </x:row>
    <x:row r="19">
      <x:c r="A19" t="str">
        <x:v>38bd18fa-36ce-46d5-bb51-b9c55ac166e7</x:v>
      </x:c>
      <x:c r="B19" t="str">
        <x:v>SY INC.</x:v>
      </x:c>
      <x:c r="C19" t="str">
        <x:v>백정민</x:v>
      </x:c>
      <x:c r="D19" t="str">
        <x:v>연차(부여)</x:v>
      </x:c>
      <x:c r="E19" s="47" t="n">
        <x:v>46113</x:v>
      </x:c>
      <x:c r="F19" s="47" t="n">
        <x:v>46113</x:v>
      </x:c>
      <x:c r="G19" s="56"/>
      <x:c r="H19" t="str">
        <x:v>승인</x:v>
      </x:c>
      <x:c r="I19" t="str"/>
      <x:c r="J19" s="56" t="n">
        <x:f>IF(OR(ISNUMBER(SEARCH("반차",D19)),ISNUMBER(SEARCH("0.5",D19))),IF(G19&gt;0,G19,0.5),IF(AND(ISNUMBER(SEARCH("연차",D19)),NOT(ISNUMBER(SEARCH("부여",D19)))),IF(G19&lt;&gt;"",G19,MAX(1,F19-E19+1)),0))</x:f>
        <x:v>0</x:v>
      </x:c>
      <x:c r="K19" s="58" t="n">
        <x:v>46174</x:v>
      </x:c>
    </x:row>
    <x:row r="20">
      <x:c r="A20" t="str">
        <x:v>38bd18fa-36ce-46d5-bb51-b9c55ac166e7</x:v>
      </x:c>
      <x:c r="B20" t="str">
        <x:v>SY INC.</x:v>
      </x:c>
      <x:c r="C20" t="str">
        <x:v>백정민</x:v>
      </x:c>
      <x:c r="D20" t="str">
        <x:v>연차(부여)</x:v>
      </x:c>
      <x:c r="E20" s="47" t="n">
        <x:v>46113</x:v>
      </x:c>
      <x:c r="F20" s="47" t="n">
        <x:v>46113</x:v>
      </x:c>
      <x:c r="G20" s="56"/>
      <x:c r="H20" t="str">
        <x:v>승인</x:v>
      </x:c>
      <x:c r="I20" t="str"/>
      <x:c r="J20" s="56" t="n">
        <x:f>IF(OR(ISNUMBER(SEARCH("반차",D20)),ISNUMBER(SEARCH("0.5",D20))),IF(G20&gt;0,G20,0.5),IF(AND(ISNUMBER(SEARCH("연차",D20)),NOT(ISNUMBER(SEARCH("부여",D20)))),IF(G20&lt;&gt;"",G20,MAX(1,F20-E20+1)),0))</x:f>
        <x:v>0</x:v>
      </x:c>
      <x:c r="K20" s="58" t="n">
        <x:v>46174</x:v>
      </x:c>
    </x:row>
    <x:row r="21">
      <x:c r="A21" t="str">
        <x:v>38bd18fa-36ce-46d5-bb51-b9c55ac166e7</x:v>
      </x:c>
      <x:c r="B21" t="str">
        <x:v>SY INC.</x:v>
      </x:c>
      <x:c r="C21" t="str">
        <x:v>백정민</x:v>
      </x:c>
      <x:c r="D21" t="str">
        <x:v>연차(부여)</x:v>
      </x:c>
      <x:c r="E21" s="47" t="n">
        <x:v>46174</x:v>
      </x:c>
      <x:c r="F21" s="47" t="n">
        <x:v>46174</x:v>
      </x:c>
      <x:c r="G21" s="56"/>
      <x:c r="H21" t="str">
        <x:v>승인</x:v>
      </x:c>
      <x:c r="I21" t="str"/>
      <x:c r="J21" s="56" t="n">
        <x:f>IF(OR(ISNUMBER(SEARCH("반차",D21)),ISNUMBER(SEARCH("0.5",D21))),IF(G21&gt;0,G21,0.5),IF(AND(ISNUMBER(SEARCH("연차",D21)),NOT(ISNUMBER(SEARCH("부여",D21)))),IF(G21&lt;&gt;"",G21,MAX(1,F21-E21+1)),0))</x:f>
        <x:v>0</x:v>
      </x:c>
      <x:c r="K21" s="58" t="n">
        <x:v>46174</x:v>
      </x:c>
    </x:row>
    <x:row r="22">
      <x:c r="A22" t="str">
        <x:v>4796a0b0-f593-47a5-82e0-8db8f036d546</x:v>
      </x:c>
      <x:c r="B22" t="str">
        <x:v>SY INC.</x:v>
      </x:c>
      <x:c r="C22" t="str">
        <x:v>이나림</x:v>
      </x:c>
      <x:c r="D22" t="str">
        <x:v>연차</x:v>
      </x:c>
      <x:c r="E22" s="47" t="n">
        <x:v>46100</x:v>
      </x:c>
      <x:c r="F22" s="47" t="n">
        <x:v>46100</x:v>
      </x:c>
      <x:c r="G22" s="56"/>
      <x:c r="H22" t="str">
        <x:v>승인</x:v>
      </x:c>
      <x:c r="I22" t="str">
        <x:v>연차관리대장 일괄 반영(2026-05-14)</x:v>
      </x:c>
      <x:c r="J22" s="56" t="n">
        <x:f>IF(OR(ISNUMBER(SEARCH("반차",D22)),ISNUMBER(SEARCH("0.5",D22))),IF(G22&gt;0,G22,0.5),IF(AND(ISNUMBER(SEARCH("연차",D22)),NOT(ISNUMBER(SEARCH("부여",D22)))),IF(G22&lt;&gt;"",G22,MAX(1,F22-E22+1)),0))</x:f>
        <x:v>1</x:v>
      </x:c>
      <x:c r="K22" s="58" t="n">
        <x:v>46156</x:v>
      </x:c>
    </x:row>
    <x:row r="23">
      <x:c r="A23" t="str">
        <x:v>4796a0b0-f593-47a5-82e0-8db8f036d546</x:v>
      </x:c>
      <x:c r="B23" t="str">
        <x:v>SY INC.</x:v>
      </x:c>
      <x:c r="C23" t="str">
        <x:v>이나림</x:v>
      </x:c>
      <x:c r="D23" t="str">
        <x:v>반차 (0.5)</x:v>
      </x:c>
      <x:c r="E23" s="47" t="n">
        <x:v>46150</x:v>
      </x:c>
      <x:c r="F23" s="47" t="n">
        <x:v>46150</x:v>
      </x:c>
      <x:c r="G23" s="56"/>
      <x:c r="H23" t="str">
        <x:v>승인</x:v>
      </x:c>
      <x:c r="I23" t="str">
        <x:v>감기기운으로  금일 반차 신청합니다. 당일 신청 죄송합니다.</x:v>
      </x:c>
      <x:c r="J23" s="56" t="n">
        <x:f>IF(OR(ISNUMBER(SEARCH("반차",D23)),ISNUMBER(SEARCH("0.5",D23))),IF(G23&gt;0,G23,0.5),IF(AND(ISNUMBER(SEARCH("연차",D23)),NOT(ISNUMBER(SEARCH("부여",D23)))),IF(G23&lt;&gt;"",G23,MAX(1,F23-E23+1)),0))</x:f>
        <x:v>0.5</x:v>
      </x:c>
      <x:c r="K23" s="58" t="n">
        <x:v>46150</x:v>
      </x:c>
    </x:row>
    <x:row r="24">
      <x:c r="A24" t="str">
        <x:v>4796a0b0-f593-47a5-82e0-8db8f036d546</x:v>
      </x:c>
      <x:c r="B24" t="str">
        <x:v>SY INC.</x:v>
      </x:c>
      <x:c r="C24" t="str">
        <x:v>이나림</x:v>
      </x:c>
      <x:c r="D24" t="str">
        <x:v>연차 (1.0)</x:v>
      </x:c>
      <x:c r="E24" s="47" t="n">
        <x:v>46178</x:v>
      </x:c>
      <x:c r="F24" s="47" t="n">
        <x:v>46178</x:v>
      </x:c>
      <x:c r="G24" s="56"/>
      <x:c r="H24" t="str">
        <x:v>승인</x:v>
      </x:c>
      <x:c r="I24" t="str">
        <x:v>개인일정으로 연차(월차) 신청 합니다</x:v>
      </x:c>
      <x:c r="J24" s="56" t="n">
        <x:f>IF(OR(ISNUMBER(SEARCH("반차",D24)),ISNUMBER(SEARCH("0.5",D24))),IF(G24&gt;0,G24,0.5),IF(AND(ISNUMBER(SEARCH("연차",D24)),NOT(ISNUMBER(SEARCH("부여",D24)))),IF(G24&lt;&gt;"",G24,MAX(1,F24-E24+1)),0))</x:f>
        <x:v>1</x:v>
      </x:c>
      <x:c r="K24" s="58" t="n">
        <x:v>46169</x:v>
      </x:c>
    </x:row>
    <x:row r="25">
      <x:c r="A25" t="str">
        <x:v>4796a0b0-f593-47a5-82e0-8db8f036d546</x:v>
      </x:c>
      <x:c r="B25" t="str">
        <x:v>SY INC.</x:v>
      </x:c>
      <x:c r="C25" t="str">
        <x:v>이나림</x:v>
      </x:c>
      <x:c r="D25" t="str">
        <x:v>연차(과거사용)</x:v>
      </x:c>
      <x:c r="E25" s="47" t="n">
        <x:v>46219</x:v>
      </x:c>
      <x:c r="F25" s="47" t="n">
        <x:v>46219</x:v>
      </x:c>
      <x:c r="G25" s="56" t="n">
        <x:v>2</x:v>
      </x:c>
      <x:c r="H25" t="str">
        <x:v>승인</x:v>
      </x:c>
      <x:c r="I25" t="str">
        <x:v>수당지급</x:v>
      </x:c>
      <x:c r="J25" s="56" t="n">
        <x:f>IF(OR(ISNUMBER(SEARCH("반차",D25)),ISNUMBER(SEARCH("0.5",D25))),IF(G25&gt;0,G25,0.5),IF(AND(ISNUMBER(SEARCH("연차",D25)),NOT(ISNUMBER(SEARCH("부여",D25)))),IF(G25&lt;&gt;"",G25,MAX(1,F25-E25+1)),0))</x:f>
        <x:v>2</x:v>
      </x:c>
      <x:c r="K25" s="58" t="n">
        <x:v>46219</x:v>
      </x:c>
    </x:row>
    <x:row r="26">
      <x:c r="A26" t="str">
        <x:v>4796a0b0-f593-47a5-82e0-8db8f036d546</x:v>
      </x:c>
      <x:c r="B26" t="str">
        <x:v>SY INC.</x:v>
      </x:c>
      <x:c r="C26" t="str">
        <x:v>이나림</x:v>
      </x:c>
      <x:c r="D26" t="str">
        <x:v>연차 (1.0)</x:v>
      </x:c>
      <x:c r="E26" s="47" t="n">
        <x:v>46237</x:v>
      </x:c>
      <x:c r="F26" s="47" t="n">
        <x:v>46238</x:v>
      </x:c>
      <x:c r="G26" s="56" t="n">
        <x:v>2</x:v>
      </x:c>
      <x:c r="H26" t="str">
        <x:v>승인</x:v>
      </x:c>
      <x:c r="I26" t="str">
        <x:v>여름휴가일정으로 8월 3일,4일 연차 신청합니다!</x:v>
      </x:c>
      <x:c r="J26" s="56" t="n">
        <x:f>IF(OR(ISNUMBER(SEARCH("반차",D26)),ISNUMBER(SEARCH("0.5",D26))),IF(G26&gt;0,G26,0.5),IF(AND(ISNUMBER(SEARCH("연차",D26)),NOT(ISNUMBER(SEARCH("부여",D26)))),IF(G26&lt;&gt;"",G26,MAX(1,F26-E26+1)),0))</x:f>
        <x:v>2</x:v>
      </x:c>
      <x:c r="K26" s="58" t="n">
        <x:v>46217</x:v>
      </x:c>
    </x:row>
    <x:row r="27">
      <x:c r="A27" t="str">
        <x:v>5fcfae0e-9972-46d6-b173-523710e6a757</x:v>
      </x:c>
      <x:c r="B27" t="str">
        <x:v>SY INC.</x:v>
      </x:c>
      <x:c r="C27" t="str">
        <x:v>임귀섭</x:v>
      </x:c>
      <x:c r="D27" t="str">
        <x:v>연차</x:v>
      </x:c>
      <x:c r="E27" s="47" t="n">
        <x:v>46101</x:v>
      </x:c>
      <x:c r="F27" s="47" t="n">
        <x:v>46101</x:v>
      </x:c>
      <x:c r="G27" s="56"/>
      <x:c r="H27" t="str">
        <x:v>승인</x:v>
      </x:c>
      <x:c r="I27" t="str">
        <x:v>연차관리대장 일괄 반영(2026-05-14)</x:v>
      </x:c>
      <x:c r="J27" s="56" t="n">
        <x:f>IF(OR(ISNUMBER(SEARCH("반차",D27)),ISNUMBER(SEARCH("0.5",D27))),IF(G27&gt;0,G27,0.5),IF(AND(ISNUMBER(SEARCH("연차",D27)),NOT(ISNUMBER(SEARCH("부여",D27)))),IF(G27&lt;&gt;"",G27,MAX(1,F27-E27+1)),0))</x:f>
        <x:v>1</x:v>
      </x:c>
      <x:c r="K27" s="58" t="n">
        <x:v>46156</x:v>
      </x:c>
    </x:row>
    <x:row r="28">
      <x:c r="A28" t="str">
        <x:v>5fcfae0e-9972-46d6-b173-523710e6a757</x:v>
      </x:c>
      <x:c r="B28" t="str">
        <x:v>SY INC.</x:v>
      </x:c>
      <x:c r="C28" t="str">
        <x:v>임귀섭</x:v>
      </x:c>
      <x:c r="D28" t="str">
        <x:v>연차 (1.0)</x:v>
      </x:c>
      <x:c r="E28" s="47" t="n">
        <x:v>46122</x:v>
      </x:c>
      <x:c r="F28" s="47" t="n">
        <x:v>46122</x:v>
      </x:c>
      <x:c r="G28" s="56"/>
      <x:c r="H28" t="str">
        <x:v>승인</x:v>
      </x:c>
      <x:c r="I28" t="str">
        <x:v>부서 : 관리팀 임귀섭
일시 : 2026.04.10 (1일)
사유 : 개인사정</x:v>
      </x:c>
      <x:c r="J28" s="56" t="n">
        <x:f>IF(OR(ISNUMBER(SEARCH("반차",D28)),ISNUMBER(SEARCH("0.5",D28))),IF(G28&gt;0,G28,0.5),IF(AND(ISNUMBER(SEARCH("연차",D28)),NOT(ISNUMBER(SEARCH("부여",D28)))),IF(G28&lt;&gt;"",G28,MAX(1,F28-E28+1)),0))</x:f>
        <x:v>1</x:v>
      </x:c>
      <x:c r="K28" s="58" t="n">
        <x:v>46119</x:v>
      </x:c>
    </x:row>
    <x:row r="29">
      <x:c r="A29" t="str">
        <x:v>5fcfae0e-9972-46d6-b173-523710e6a757</x:v>
      </x:c>
      <x:c r="B29" t="str">
        <x:v>SY INC.</x:v>
      </x:c>
      <x:c r="C29" t="str">
        <x:v>임귀섭</x:v>
      </x:c>
      <x:c r="D29" t="str">
        <x:v>연차 (1.0)</x:v>
      </x:c>
      <x:c r="E29" s="47" t="n">
        <x:v>46185</x:v>
      </x:c>
      <x:c r="F29" s="47" t="n">
        <x:v>46185</x:v>
      </x:c>
      <x:c r="G29" s="56"/>
      <x:c r="H29" t="str">
        <x:v>승인</x:v>
      </x:c>
      <x:c r="I29" t="str">
        <x:v>부서 : 관리팀
일시  : 2026.06.12(1일)
사유 : 개인사정</x:v>
      </x:c>
      <x:c r="J29" s="56" t="n">
        <x:f>IF(OR(ISNUMBER(SEARCH("반차",D29)),ISNUMBER(SEARCH("0.5",D29))),IF(G29&gt;0,G29,0.5),IF(AND(ISNUMBER(SEARCH("연차",D29)),NOT(ISNUMBER(SEARCH("부여",D29)))),IF(G29&lt;&gt;"",G29,MAX(1,F29-E29+1)),0))</x:f>
        <x:v>1</x:v>
      </x:c>
      <x:c r="K29" s="58" t="n">
        <x:v>46178</x:v>
      </x:c>
    </x:row>
    <x:row r="30">
      <x:c r="A30" t="str">
        <x:v>5fcfae0e-9972-46d6-b173-523710e6a757</x:v>
      </x:c>
      <x:c r="B30" t="str">
        <x:v>SY INC.</x:v>
      </x:c>
      <x:c r="C30" t="str">
        <x:v>임귀섭</x:v>
      </x:c>
      <x:c r="D30" t="str">
        <x:v>연차</x:v>
      </x:c>
      <x:c r="E30" s="47" t="n">
        <x:v>46226</x:v>
      </x:c>
      <x:c r="F30" s="47" t="n">
        <x:v>46227</x:v>
      </x:c>
      <x:c r="G30" s="56" t="n">
        <x:v>2</x:v>
      </x:c>
      <x:c r="H30" t="str">
        <x:v>승인</x:v>
      </x:c>
      <x:c r="I30" t="str">
        <x:v>개인사유</x:v>
      </x:c>
      <x:c r="J30" s="56" t="n">
        <x:f>IF(OR(ISNUMBER(SEARCH("반차",D30)),ISNUMBER(SEARCH("0.5",D30))),IF(G30&gt;0,G30,0.5),IF(AND(ISNUMBER(SEARCH("연차",D30)),NOT(ISNUMBER(SEARCH("부여",D30)))),IF(G30&lt;&gt;"",G30,MAX(1,F30-E30+1)),0))</x:f>
        <x:v>2</x:v>
      </x:c>
      <x:c r="K30" s="58" t="n">
        <x:v>46223</x:v>
      </x:c>
    </x:row>
    <x:row r="31">
      <x:c r="A31" t="str">
        <x:v>99165dcd-4622-4557-9ac8-6878632ee051</x:v>
      </x:c>
      <x:c r="B31" t="str">
        <x:v>박철홍정형외과</x:v>
      </x:c>
      <x:c r="C31" t="str">
        <x:v>김규빈</x:v>
      </x:c>
      <x:c r="D31" t="str">
        <x:v>반차 (0.5)</x:v>
      </x:c>
      <x:c r="E31" s="47" t="n">
        <x:v>46135</x:v>
      </x:c>
      <x:c r="F31" s="47" t="n">
        <x:v>46135</x:v>
      </x:c>
      <x:c r="G31" s="56"/>
      <x:c r="H31" t="str">
        <x:v>승인</x:v>
      </x:c>
      <x:c r="I31" t="str">
        <x:v>개인 사정으로 인하여</x:v>
      </x:c>
      <x:c r="J31" s="56" t="n">
        <x:f>IF(OR(ISNUMBER(SEARCH("반차",D31)),ISNUMBER(SEARCH("0.5",D31))),IF(G31&gt;0,G31,0.5),IF(AND(ISNUMBER(SEARCH("연차",D31)),NOT(ISNUMBER(SEARCH("부여",D31)))),IF(G31&lt;&gt;"",G31,MAX(1,F31-E31+1)),0))</x:f>
        <x:v>0.5</x:v>
      </x:c>
      <x:c r="K31" s="58" t="n">
        <x:v>46135</x:v>
      </x:c>
    </x:row>
    <x:row r="32">
      <x:c r="A32" t="str">
        <x:v>99165dcd-4622-4557-9ac8-6878632ee051</x:v>
      </x:c>
      <x:c r="B32" t="str">
        <x:v>박철홍정형외과</x:v>
      </x:c>
      <x:c r="C32" t="str">
        <x:v>김규빈</x:v>
      </x:c>
      <x:c r="D32" t="str">
        <x:v>연차 (1.0)</x:v>
      </x:c>
      <x:c r="E32" s="47" t="n">
        <x:v>46146</x:v>
      </x:c>
      <x:c r="F32" s="47" t="n">
        <x:v>46146</x:v>
      </x:c>
      <x:c r="G32" s="56"/>
      <x:c r="H32" t="str">
        <x:v>승인</x:v>
      </x:c>
      <x:c r="I32" t="str">
        <x:v>건강검진(개인사정)</x:v>
      </x:c>
      <x:c r="J32" s="56" t="n">
        <x:f>IF(OR(ISNUMBER(SEARCH("반차",D32)),ISNUMBER(SEARCH("0.5",D32))),IF(G32&gt;0,G32,0.5),IF(AND(ISNUMBER(SEARCH("연차",D32)),NOT(ISNUMBER(SEARCH("부여",D32)))),IF(G32&lt;&gt;"",G32,MAX(1,F32-E32+1)),0))</x:f>
        <x:v>1</x:v>
      </x:c>
      <x:c r="K32" s="58" t="n">
        <x:v>46140</x:v>
      </x:c>
    </x:row>
    <x:row r="33">
      <x:c r="A33" t="str">
        <x:v>99165dcd-4622-4557-9ac8-6878632ee051</x:v>
      </x:c>
      <x:c r="B33" t="str">
        <x:v>박철홍정형외과</x:v>
      </x:c>
      <x:c r="C33" t="str">
        <x:v>김규빈</x:v>
      </x:c>
      <x:c r="D33" t="str">
        <x:v>연차 (1.0)</x:v>
      </x:c>
      <x:c r="E33" s="47" t="n">
        <x:v>46188</x:v>
      </x:c>
      <x:c r="F33" s="47" t="n">
        <x:v>46188</x:v>
      </x:c>
      <x:c r="G33" s="56"/>
      <x:c r="H33" t="str">
        <x:v>승인</x:v>
      </x:c>
      <x:c r="I33" t="str">
        <x:v>개인사정</x:v>
      </x:c>
      <x:c r="J33" s="56" t="n">
        <x:f>IF(OR(ISNUMBER(SEARCH("반차",D33)),ISNUMBER(SEARCH("0.5",D33))),IF(G33&gt;0,G33,0.5),IF(AND(ISNUMBER(SEARCH("연차",D33)),NOT(ISNUMBER(SEARCH("부여",D33)))),IF(G33&lt;&gt;"",G33,MAX(1,F33-E33+1)),0))</x:f>
        <x:v>1</x:v>
      </x:c>
      <x:c r="K33" s="58" t="n">
        <x:v>46185</x:v>
      </x:c>
    </x:row>
    <x:row r="34">
      <x:c r="A34" t="str">
        <x:v>2b9daf05-c892-43db-b1fa-af60b2a51eb2</x:v>
      </x:c>
      <x:c r="B34" t="str">
        <x:v>박철홍정형외과</x:v>
      </x:c>
      <x:c r="C34" t="str">
        <x:v>김민정</x:v>
      </x:c>
      <x:c r="D34" t="str">
        <x:v>연차</x:v>
      </x:c>
      <x:c r="E34" s="47" t="n">
        <x:v>46109</x:v>
      </x:c>
      <x:c r="F34" s="47" t="n">
        <x:v>46109</x:v>
      </x:c>
      <x:c r="G34" s="56"/>
      <x:c r="H34" t="str">
        <x:v>승인</x:v>
      </x:c>
      <x:c r="I34" t="str">
        <x:v>연차관리대장 일괄 반영(2026-05-14)</x:v>
      </x:c>
      <x:c r="J34" s="56" t="n">
        <x:f>IF(OR(ISNUMBER(SEARCH("반차",D34)),ISNUMBER(SEARCH("0.5",D34))),IF(G34&gt;0,G34,0.5),IF(AND(ISNUMBER(SEARCH("연차",D34)),NOT(ISNUMBER(SEARCH("부여",D34)))),IF(G34&lt;&gt;"",G34,MAX(1,F34-E34+1)),0))</x:f>
        <x:v>1</x:v>
      </x:c>
      <x:c r="K34" s="58" t="n">
        <x:v>46156</x:v>
      </x:c>
    </x:row>
    <x:row r="35">
      <x:c r="A35" t="str">
        <x:v>2b9daf05-c892-43db-b1fa-af60b2a51eb2</x:v>
      </x:c>
      <x:c r="B35" t="str">
        <x:v>박철홍정형외과</x:v>
      </x:c>
      <x:c r="C35" t="str">
        <x:v>김민정</x:v>
      </x:c>
      <x:c r="D35" t="str">
        <x:v>연차(과거사용)</x:v>
      </x:c>
      <x:c r="E35" s="47" t="n">
        <x:v>46143</x:v>
      </x:c>
      <x:c r="F35" s="47" t="n">
        <x:v>46143</x:v>
      </x:c>
      <x:c r="G35" s="56" t="n">
        <x:v>1</x:v>
      </x:c>
      <x:c r="H35" t="str">
        <x:v>승인</x:v>
      </x:c>
      <x:c r="I35" t="str">
        <x:v>기사용</x:v>
      </x:c>
      <x:c r="J35" s="56" t="n">
        <x:f>IF(OR(ISNUMBER(SEARCH("반차",D35)),ISNUMBER(SEARCH("0.5",D35))),IF(G35&gt;0,G35,0.5),IF(AND(ISNUMBER(SEARCH("연차",D35)),NOT(ISNUMBER(SEARCH("부여",D35)))),IF(G35&lt;&gt;"",G35,MAX(1,F35-E35+1)),0))</x:f>
        <x:v>1</x:v>
      </x:c>
      <x:c r="K35" s="58" t="n">
        <x:v>46199</x:v>
      </x:c>
    </x:row>
    <x:row r="36">
      <x:c r="A36" t="str">
        <x:v>fed2b60b-61eb-41a5-b35d-8c25b367fb45</x:v>
      </x:c>
      <x:c r="B36" t="str">
        <x:v>박철홍정형외과</x:v>
      </x:c>
      <x:c r="C36" t="str">
        <x:v>김수지</x:v>
      </x:c>
      <x:c r="D36" t="str">
        <x:v>연차(이력)</x:v>
      </x:c>
      <x:c r="E36" s="47" t="n">
        <x:v>45265</x:v>
      </x:c>
      <x:c r="F36" s="47" t="n">
        <x:v>45265</x:v>
      </x:c>
      <x:c r="G36" s="56"/>
      <x:c r="H36" t="str">
        <x:v>승인</x:v>
      </x:c>
      <x:c r="I36" t="str">
        <x:v>연차관리대장 일괄 반영(2026-05-14)</x:v>
      </x:c>
      <x:c r="J36" s="56" t="n">
        <x:f>IF(OR(ISNUMBER(SEARCH("반차",D36)),ISNUMBER(SEARCH("0.5",D36))),IF(G36&gt;0,G36,0.5),IF(AND(ISNUMBER(SEARCH("연차",D36)),NOT(ISNUMBER(SEARCH("부여",D36)))),IF(G36&lt;&gt;"",G36,MAX(1,F36-E36+1)),0))</x:f>
        <x:v>1</x:v>
      </x:c>
      <x:c r="K36" s="58" t="n">
        <x:v>46156</x:v>
      </x:c>
    </x:row>
    <x:row r="37">
      <x:c r="A37" t="str">
        <x:v>fed2b60b-61eb-41a5-b35d-8c25b367fb45</x:v>
      </x:c>
      <x:c r="B37" t="str">
        <x:v>박철홍정형외과</x:v>
      </x:c>
      <x:c r="C37" t="str">
        <x:v>김수지</x:v>
      </x:c>
      <x:c r="D37" t="str">
        <x:v>연차(이력)</x:v>
      </x:c>
      <x:c r="E37" s="47" t="n">
        <x:v>45470</x:v>
      </x:c>
      <x:c r="F37" s="47" t="n">
        <x:v>45470</x:v>
      </x:c>
      <x:c r="G37" s="56"/>
      <x:c r="H37" t="str">
        <x:v>승인</x:v>
      </x:c>
      <x:c r="I37" t="str">
        <x:v>연차관리대장 일괄 반영(2026-05-14)</x:v>
      </x:c>
      <x:c r="J37" s="56" t="n">
        <x:f>IF(OR(ISNUMBER(SEARCH("반차",D37)),ISNUMBER(SEARCH("0.5",D37))),IF(G37&gt;0,G37,0.5),IF(AND(ISNUMBER(SEARCH("연차",D37)),NOT(ISNUMBER(SEARCH("부여",D37)))),IF(G37&lt;&gt;"",G37,MAX(1,F37-E37+1)),0))</x:f>
        <x:v>1</x:v>
      </x:c>
      <x:c r="K37" s="58" t="n">
        <x:v>46156</x:v>
      </x:c>
    </x:row>
    <x:row r="38">
      <x:c r="A38" t="str">
        <x:v>fed2b60b-61eb-41a5-b35d-8c25b367fb45</x:v>
      </x:c>
      <x:c r="B38" t="str">
        <x:v>박철홍정형외과</x:v>
      </x:c>
      <x:c r="C38" t="str">
        <x:v>김수지</x:v>
      </x:c>
      <x:c r="D38" t="str">
        <x:v>연차(이력)</x:v>
      </x:c>
      <x:c r="E38" s="47" t="n">
        <x:v>45471</x:v>
      </x:c>
      <x:c r="F38" s="47" t="n">
        <x:v>45471</x:v>
      </x:c>
      <x:c r="G38" s="56"/>
      <x:c r="H38" t="str">
        <x:v>승인</x:v>
      </x:c>
      <x:c r="I38" t="str">
        <x:v>연차관리대장 일괄 반영(2026-05-14)</x:v>
      </x:c>
      <x:c r="J38" s="56" t="n">
        <x:f>IF(OR(ISNUMBER(SEARCH("반차",D38)),ISNUMBER(SEARCH("0.5",D38))),IF(G38&gt;0,G38,0.5),IF(AND(ISNUMBER(SEARCH("연차",D38)),NOT(ISNUMBER(SEARCH("부여",D38)))),IF(G38&lt;&gt;"",G38,MAX(1,F38-E38+1)),0))</x:f>
        <x:v>1</x:v>
      </x:c>
      <x:c r="K38" s="58" t="n">
        <x:v>46156</x:v>
      </x:c>
    </x:row>
    <x:row r="39">
      <x:c r="A39" t="str">
        <x:v>fed2b60b-61eb-41a5-b35d-8c25b367fb45</x:v>
      </x:c>
      <x:c r="B39" t="str">
        <x:v>박철홍정형외과</x:v>
      </x:c>
      <x:c r="C39" t="str">
        <x:v>김수지</x:v>
      </x:c>
      <x:c r="D39" t="str">
        <x:v>연차(이력)</x:v>
      </x:c>
      <x:c r="E39" s="47" t="n">
        <x:v>45497</x:v>
      </x:c>
      <x:c r="F39" s="47" t="n">
        <x:v>45497</x:v>
      </x:c>
      <x:c r="G39" s="56"/>
      <x:c r="H39" t="str">
        <x:v>승인</x:v>
      </x:c>
      <x:c r="I39" t="str">
        <x:v>연차관리대장 일괄 반영(2026-05-14)</x:v>
      </x:c>
      <x:c r="J39" s="56" t="n">
        <x:f>IF(OR(ISNUMBER(SEARCH("반차",D39)),ISNUMBER(SEARCH("0.5",D39))),IF(G39&gt;0,G39,0.5),IF(AND(ISNUMBER(SEARCH("연차",D39)),NOT(ISNUMBER(SEARCH("부여",D39)))),IF(G39&lt;&gt;"",G39,MAX(1,F39-E39+1)),0))</x:f>
        <x:v>1</x:v>
      </x:c>
      <x:c r="K39" s="58" t="n">
        <x:v>46156</x:v>
      </x:c>
    </x:row>
    <x:row r="40">
      <x:c r="A40" t="str">
        <x:v>fed2b60b-61eb-41a5-b35d-8c25b367fb45</x:v>
      </x:c>
      <x:c r="B40" t="str">
        <x:v>박철홍정형외과</x:v>
      </x:c>
      <x:c r="C40" t="str">
        <x:v>김수지</x:v>
      </x:c>
      <x:c r="D40" t="str">
        <x:v>연차(이력)</x:v>
      </x:c>
      <x:c r="E40" s="47" t="n">
        <x:v>45498</x:v>
      </x:c>
      <x:c r="F40" s="47" t="n">
        <x:v>45498</x:v>
      </x:c>
      <x:c r="G40" s="56"/>
      <x:c r="H40" t="str">
        <x:v>승인</x:v>
      </x:c>
      <x:c r="I40" t="str">
        <x:v>연차관리대장 일괄 반영(2026-05-14)</x:v>
      </x:c>
      <x:c r="J40" s="56" t="n">
        <x:f>IF(OR(ISNUMBER(SEARCH("반차",D40)),ISNUMBER(SEARCH("0.5",D40))),IF(G40&gt;0,G40,0.5),IF(AND(ISNUMBER(SEARCH("연차",D40)),NOT(ISNUMBER(SEARCH("부여",D40)))),IF(G40&lt;&gt;"",G40,MAX(1,F40-E40+1)),0))</x:f>
        <x:v>1</x:v>
      </x:c>
      <x:c r="K40" s="58" t="n">
        <x:v>46156</x:v>
      </x:c>
    </x:row>
    <x:row r="41">
      <x:c r="A41" t="str">
        <x:v>fed2b60b-61eb-41a5-b35d-8c25b367fb45</x:v>
      </x:c>
      <x:c r="B41" t="str">
        <x:v>박철홍정형외과</x:v>
      </x:c>
      <x:c r="C41" t="str">
        <x:v>김수지</x:v>
      </x:c>
      <x:c r="D41" t="str">
        <x:v>연차(이력)</x:v>
      </x:c>
      <x:c r="E41" s="47" t="n">
        <x:v>45502</x:v>
      </x:c>
      <x:c r="F41" s="47" t="n">
        <x:v>45502</x:v>
      </x:c>
      <x:c r="G41" s="56"/>
      <x:c r="H41" t="str">
        <x:v>승인</x:v>
      </x:c>
      <x:c r="I41" t="str">
        <x:v>연차관리대장 일괄 반영(2026-05-14)</x:v>
      </x:c>
      <x:c r="J41" s="56" t="n">
        <x:f>IF(OR(ISNUMBER(SEARCH("반차",D41)),ISNUMBER(SEARCH("0.5",D41))),IF(G41&gt;0,G41,0.5),IF(AND(ISNUMBER(SEARCH("연차",D41)),NOT(ISNUMBER(SEARCH("부여",D41)))),IF(G41&lt;&gt;"",G41,MAX(1,F41-E41+1)),0))</x:f>
        <x:v>1</x:v>
      </x:c>
      <x:c r="K41" s="58" t="n">
        <x:v>46156</x:v>
      </x:c>
    </x:row>
    <x:row r="42">
      <x:c r="A42" t="str">
        <x:v>fed2b60b-61eb-41a5-b35d-8c25b367fb45</x:v>
      </x:c>
      <x:c r="B42" t="str">
        <x:v>박철홍정형외과</x:v>
      </x:c>
      <x:c r="C42" t="str">
        <x:v>김수지</x:v>
      </x:c>
      <x:c r="D42" t="str">
        <x:v>연차(이력)</x:v>
      </x:c>
      <x:c r="E42" s="47" t="n">
        <x:v>45503</x:v>
      </x:c>
      <x:c r="F42" s="47" t="n">
        <x:v>45503</x:v>
      </x:c>
      <x:c r="G42" s="56"/>
      <x:c r="H42" t="str">
        <x:v>승인</x:v>
      </x:c>
      <x:c r="I42" t="str">
        <x:v>연차관리대장 일괄 반영(2026-05-14)</x:v>
      </x:c>
      <x:c r="J42" s="56" t="n">
        <x:f>IF(OR(ISNUMBER(SEARCH("반차",D42)),ISNUMBER(SEARCH("0.5",D42))),IF(G42&gt;0,G42,0.5),IF(AND(ISNUMBER(SEARCH("연차",D42)),NOT(ISNUMBER(SEARCH("부여",D42)))),IF(G42&lt;&gt;"",G42,MAX(1,F42-E42+1)),0))</x:f>
        <x:v>1</x:v>
      </x:c>
      <x:c r="K42" s="58" t="n">
        <x:v>46156</x:v>
      </x:c>
    </x:row>
    <x:row r="43">
      <x:c r="A43" t="str">
        <x:v>fed2b60b-61eb-41a5-b35d-8c25b367fb45</x:v>
      </x:c>
      <x:c r="B43" t="str">
        <x:v>박철홍정형외과</x:v>
      </x:c>
      <x:c r="C43" t="str">
        <x:v>김수지</x:v>
      </x:c>
      <x:c r="D43" t="str">
        <x:v>연차(이력)</x:v>
      </x:c>
      <x:c r="E43" s="47" t="n">
        <x:v>45509</x:v>
      </x:c>
      <x:c r="F43" s="47" t="n">
        <x:v>45509</x:v>
      </x:c>
      <x:c r="G43" s="56"/>
      <x:c r="H43" t="str">
        <x:v>승인</x:v>
      </x:c>
      <x:c r="I43" t="str">
        <x:v>연차관리대장 일괄 반영(2026-05-14)</x:v>
      </x:c>
      <x:c r="J43" s="56" t="n">
        <x:f>IF(OR(ISNUMBER(SEARCH("반차",D43)),ISNUMBER(SEARCH("0.5",D43))),IF(G43&gt;0,G43,0.5),IF(AND(ISNUMBER(SEARCH("연차",D43)),NOT(ISNUMBER(SEARCH("부여",D43)))),IF(G43&lt;&gt;"",G43,MAX(1,F43-E43+1)),0))</x:f>
        <x:v>1</x:v>
      </x:c>
      <x:c r="K43" s="58" t="n">
        <x:v>46156</x:v>
      </x:c>
    </x:row>
    <x:row r="44">
      <x:c r="A44" t="str">
        <x:v>fed2b60b-61eb-41a5-b35d-8c25b367fb45</x:v>
      </x:c>
      <x:c r="B44" t="str">
        <x:v>박철홍정형외과</x:v>
      </x:c>
      <x:c r="C44" t="str">
        <x:v>김수지</x:v>
      </x:c>
      <x:c r="D44" t="str">
        <x:v>연차(이력)</x:v>
      </x:c>
      <x:c r="E44" s="47" t="n">
        <x:v>45510</x:v>
      </x:c>
      <x:c r="F44" s="47" t="n">
        <x:v>45510</x:v>
      </x:c>
      <x:c r="G44" s="56"/>
      <x:c r="H44" t="str">
        <x:v>승인</x:v>
      </x:c>
      <x:c r="I44" t="str">
        <x:v>연차관리대장 일괄 반영(2026-05-14)</x:v>
      </x:c>
      <x:c r="J44" s="56" t="n">
        <x:f>IF(OR(ISNUMBER(SEARCH("반차",D44)),ISNUMBER(SEARCH("0.5",D44))),IF(G44&gt;0,G44,0.5),IF(AND(ISNUMBER(SEARCH("연차",D44)),NOT(ISNUMBER(SEARCH("부여",D44)))),IF(G44&lt;&gt;"",G44,MAX(1,F44-E44+1)),0))</x:f>
        <x:v>1</x:v>
      </x:c>
      <x:c r="K44" s="58" t="n">
        <x:v>46156</x:v>
      </x:c>
    </x:row>
    <x:row r="45">
      <x:c r="A45" t="str">
        <x:v>fed2b60b-61eb-41a5-b35d-8c25b367fb45</x:v>
      </x:c>
      <x:c r="B45" t="str">
        <x:v>박철홍정형외과</x:v>
      </x:c>
      <x:c r="C45" t="str">
        <x:v>김수지</x:v>
      </x:c>
      <x:c r="D45" t="str">
        <x:v>연차(이력)</x:v>
      </x:c>
      <x:c r="E45" s="47" t="n">
        <x:v>45529</x:v>
      </x:c>
      <x:c r="F45" s="47" t="n">
        <x:v>45529</x:v>
      </x:c>
      <x:c r="G45" s="56"/>
      <x:c r="H45" t="str">
        <x:v>승인</x:v>
      </x:c>
      <x:c r="I45" t="str">
        <x:v>연차관리대장 일괄 반영(2026-05-14)</x:v>
      </x:c>
      <x:c r="J45" s="56" t="n">
        <x:f>IF(OR(ISNUMBER(SEARCH("반차",D45)),ISNUMBER(SEARCH("0.5",D45))),IF(G45&gt;0,G45,0.5),IF(AND(ISNUMBER(SEARCH("연차",D45)),NOT(ISNUMBER(SEARCH("부여",D45)))),IF(G45&lt;&gt;"",G45,MAX(1,F45-E45+1)),0))</x:f>
        <x:v>1</x:v>
      </x:c>
      <x:c r="K45" s="58" t="n">
        <x:v>46156</x:v>
      </x:c>
    </x:row>
    <x:row r="46">
      <x:c r="A46" t="str">
        <x:v>fed2b60b-61eb-41a5-b35d-8c25b367fb45</x:v>
      </x:c>
      <x:c r="B46" t="str">
        <x:v>박철홍정형외과</x:v>
      </x:c>
      <x:c r="C46" t="str">
        <x:v>김수지</x:v>
      </x:c>
      <x:c r="D46" t="str">
        <x:v>연차(이력)</x:v>
      </x:c>
      <x:c r="E46" s="47" t="n">
        <x:v>45618</x:v>
      </x:c>
      <x:c r="F46" s="47" t="n">
        <x:v>45618</x:v>
      </x:c>
      <x:c r="G46" s="56"/>
      <x:c r="H46" t="str">
        <x:v>승인</x:v>
      </x:c>
      <x:c r="I46" t="str">
        <x:v>연차관리대장 일괄 반영(2026-05-14)</x:v>
      </x:c>
      <x:c r="J46" s="56" t="n">
        <x:f>IF(OR(ISNUMBER(SEARCH("반차",D46)),ISNUMBER(SEARCH("0.5",D46))),IF(G46&gt;0,G46,0.5),IF(AND(ISNUMBER(SEARCH("연차",D46)),NOT(ISNUMBER(SEARCH("부여",D46)))),IF(G46&lt;&gt;"",G46,MAX(1,F46-E46+1)),0))</x:f>
        <x:v>1</x:v>
      </x:c>
      <x:c r="K46" s="58" t="n">
        <x:v>46156</x:v>
      </x:c>
    </x:row>
    <x:row r="47">
      <x:c r="A47" t="str">
        <x:v>fed2b60b-61eb-41a5-b35d-8c25b367fb45</x:v>
      </x:c>
      <x:c r="B47" t="str">
        <x:v>박철홍정형외과</x:v>
      </x:c>
      <x:c r="C47" t="str">
        <x:v>김수지</x:v>
      </x:c>
      <x:c r="D47" t="str">
        <x:v>연차(이력)</x:v>
      </x:c>
      <x:c r="E47" s="47" t="n">
        <x:v>45689</x:v>
      </x:c>
      <x:c r="F47" s="47" t="n">
        <x:v>45689</x:v>
      </x:c>
      <x:c r="G47" s="56"/>
      <x:c r="H47" t="str">
        <x:v>승인</x:v>
      </x:c>
      <x:c r="I47" t="str">
        <x:v>연차관리대장 일괄 반영(2026-05-14)</x:v>
      </x:c>
      <x:c r="J47" s="56" t="n">
        <x:f>IF(OR(ISNUMBER(SEARCH("반차",D47)),ISNUMBER(SEARCH("0.5",D47))),IF(G47&gt;0,G47,0.5),IF(AND(ISNUMBER(SEARCH("연차",D47)),NOT(ISNUMBER(SEARCH("부여",D47)))),IF(G47&lt;&gt;"",G47,MAX(1,F47-E47+1)),0))</x:f>
        <x:v>1</x:v>
      </x:c>
      <x:c r="K47" s="58" t="n">
        <x:v>46156</x:v>
      </x:c>
    </x:row>
    <x:row r="48">
      <x:c r="A48" t="str">
        <x:v>fed2b60b-61eb-41a5-b35d-8c25b367fb45</x:v>
      </x:c>
      <x:c r="B48" t="str">
        <x:v>박철홍정형외과</x:v>
      </x:c>
      <x:c r="C48" t="str">
        <x:v>김수지</x:v>
      </x:c>
      <x:c r="D48" t="str">
        <x:v>연차(이력)</x:v>
      </x:c>
      <x:c r="E48" s="47" t="n">
        <x:v>45808</x:v>
      </x:c>
      <x:c r="F48" s="47" t="n">
        <x:v>45808</x:v>
      </x:c>
      <x:c r="G48" s="56"/>
      <x:c r="H48" t="str">
        <x:v>승인</x:v>
      </x:c>
      <x:c r="I48" t="str">
        <x:v>연차관리대장 일괄 반영(2026-05-14)</x:v>
      </x:c>
      <x:c r="J48" s="56" t="n">
        <x:f>IF(OR(ISNUMBER(SEARCH("반차",D48)),ISNUMBER(SEARCH("0.5",D48))),IF(G48&gt;0,G48,0.5),IF(AND(ISNUMBER(SEARCH("연차",D48)),NOT(ISNUMBER(SEARCH("부여",D48)))),IF(G48&lt;&gt;"",G48,MAX(1,F48-E48+1)),0))</x:f>
        <x:v>1</x:v>
      </x:c>
      <x:c r="K48" s="58" t="n">
        <x:v>46156</x:v>
      </x:c>
    </x:row>
    <x:row r="49">
      <x:c r="A49" t="str">
        <x:v>fed2b60b-61eb-41a5-b35d-8c25b367fb45</x:v>
      </x:c>
      <x:c r="B49" t="str">
        <x:v>박철홍정형외과</x:v>
      </x:c>
      <x:c r="C49" t="str">
        <x:v>김수지</x:v>
      </x:c>
      <x:c r="D49" t="str">
        <x:v>연차(이력)</x:v>
      </x:c>
      <x:c r="E49" s="47" t="n">
        <x:v>45823</x:v>
      </x:c>
      <x:c r="F49" s="47" t="n">
        <x:v>45823</x:v>
      </x:c>
      <x:c r="G49" s="56"/>
      <x:c r="H49" t="str">
        <x:v>승인</x:v>
      </x:c>
      <x:c r="I49" t="str">
        <x:v>연차관리대장 일괄 반영(2026-05-14)</x:v>
      </x:c>
      <x:c r="J49" s="56" t="n">
        <x:f>IF(OR(ISNUMBER(SEARCH("반차",D49)),ISNUMBER(SEARCH("0.5",D49))),IF(G49&gt;0,G49,0.5),IF(AND(ISNUMBER(SEARCH("연차",D49)),NOT(ISNUMBER(SEARCH("부여",D49)))),IF(G49&lt;&gt;"",G49,MAX(1,F49-E49+1)),0))</x:f>
        <x:v>1</x:v>
      </x:c>
      <x:c r="K49" s="58" t="n">
        <x:v>46156</x:v>
      </x:c>
    </x:row>
    <x:row r="50">
      <x:c r="A50" t="str">
        <x:v>fed2b60b-61eb-41a5-b35d-8c25b367fb45</x:v>
      </x:c>
      <x:c r="B50" t="str">
        <x:v>박철홍정형외과</x:v>
      </x:c>
      <x:c r="C50" t="str">
        <x:v>김수지</x:v>
      </x:c>
      <x:c r="D50" t="str">
        <x:v>연차</x:v>
      </x:c>
      <x:c r="E50" s="47" t="n">
        <x:v>45955</x:v>
      </x:c>
      <x:c r="F50" s="47" t="n">
        <x:v>45955</x:v>
      </x:c>
      <x:c r="G50" s="56"/>
      <x:c r="H50" t="str">
        <x:v>승인</x:v>
      </x:c>
      <x:c r="I50" t="str">
        <x:v>연차관리대장 일괄 반영(2026-05-14)</x:v>
      </x:c>
      <x:c r="J50" s="56" t="n">
        <x:f>IF(OR(ISNUMBER(SEARCH("반차",D50)),ISNUMBER(SEARCH("0.5",D50))),IF(G50&gt;0,G50,0.5),IF(AND(ISNUMBER(SEARCH("연차",D50)),NOT(ISNUMBER(SEARCH("부여",D50)))),IF(G50&lt;&gt;"",G50,MAX(1,F50-E50+1)),0))</x:f>
        <x:v>1</x:v>
      </x:c>
      <x:c r="K50" s="58" t="n">
        <x:v>46156</x:v>
      </x:c>
    </x:row>
    <x:row r="51">
      <x:c r="A51" t="str">
        <x:v>fed2b60b-61eb-41a5-b35d-8c25b367fb45</x:v>
      </x:c>
      <x:c r="B51" t="str">
        <x:v>박철홍정형외과</x:v>
      </x:c>
      <x:c r="C51" t="str">
        <x:v>김수지</x:v>
      </x:c>
      <x:c r="D51" t="str">
        <x:v>연차</x:v>
      </x:c>
      <x:c r="E51" s="47" t="n">
        <x:v>45956</x:v>
      </x:c>
      <x:c r="F51" s="47" t="n">
        <x:v>45956</x:v>
      </x:c>
      <x:c r="G51" s="56"/>
      <x:c r="H51" t="str">
        <x:v>승인</x:v>
      </x:c>
      <x:c r="I51" t="str">
        <x:v>연차관리대장 일괄 반영(2026-05-14)</x:v>
      </x:c>
      <x:c r="J51" s="56" t="n">
        <x:f>IF(OR(ISNUMBER(SEARCH("반차",D51)),ISNUMBER(SEARCH("0.5",D51))),IF(G51&gt;0,G51,0.5),IF(AND(ISNUMBER(SEARCH("연차",D51)),NOT(ISNUMBER(SEARCH("부여",D51)))),IF(G51&lt;&gt;"",G51,MAX(1,F51-E51+1)),0))</x:f>
        <x:v>1</x:v>
      </x:c>
      <x:c r="K51" s="58" t="n">
        <x:v>46156</x:v>
      </x:c>
    </x:row>
    <x:row r="52">
      <x:c r="A52" t="str">
        <x:v>fed2b60b-61eb-41a5-b35d-8c25b367fb45</x:v>
      </x:c>
      <x:c r="B52" t="str">
        <x:v>박철홍정형외과</x:v>
      </x:c>
      <x:c r="C52" t="str">
        <x:v>김수지</x:v>
      </x:c>
      <x:c r="D52" t="str">
        <x:v>연차</x:v>
      </x:c>
      <x:c r="E52" s="47" t="n">
        <x:v>46007</x:v>
      </x:c>
      <x:c r="F52" s="47" t="n">
        <x:v>46007</x:v>
      </x:c>
      <x:c r="G52" s="56"/>
      <x:c r="H52" t="str">
        <x:v>승인</x:v>
      </x:c>
      <x:c r="I52" t="str">
        <x:v>연차관리대장 일괄 반영(2026-05-14)</x:v>
      </x:c>
      <x:c r="J52" s="56" t="n">
        <x:f>IF(OR(ISNUMBER(SEARCH("반차",D52)),ISNUMBER(SEARCH("0.5",D52))),IF(G52&gt;0,G52,0.5),IF(AND(ISNUMBER(SEARCH("연차",D52)),NOT(ISNUMBER(SEARCH("부여",D52)))),IF(G52&lt;&gt;"",G52,MAX(1,F52-E52+1)),0))</x:f>
        <x:v>1</x:v>
      </x:c>
      <x:c r="K52" s="58" t="n">
        <x:v>46156</x:v>
      </x:c>
    </x:row>
    <x:row r="53">
      <x:c r="A53" t="str">
        <x:v>fed2b60b-61eb-41a5-b35d-8c25b367fb45</x:v>
      </x:c>
      <x:c r="B53" t="str">
        <x:v>박철홍정형외과</x:v>
      </x:c>
      <x:c r="C53" t="str">
        <x:v>김수지</x:v>
      </x:c>
      <x:c r="D53" t="str">
        <x:v>연차</x:v>
      </x:c>
      <x:c r="E53" s="47" t="n">
        <x:v>46077</x:v>
      </x:c>
      <x:c r="F53" s="47" t="n">
        <x:v>46077</x:v>
      </x:c>
      <x:c r="G53" s="56"/>
      <x:c r="H53" t="str">
        <x:v>승인</x:v>
      </x:c>
      <x:c r="I53" t="str">
        <x:v>연차관리대장 일괄 반영(2026-05-14)</x:v>
      </x:c>
      <x:c r="J53" s="56" t="n">
        <x:f>IF(OR(ISNUMBER(SEARCH("반차",D53)),ISNUMBER(SEARCH("0.5",D53))),IF(G53&gt;0,G53,0.5),IF(AND(ISNUMBER(SEARCH("연차",D53)),NOT(ISNUMBER(SEARCH("부여",D53)))),IF(G53&lt;&gt;"",G53,MAX(1,F53-E53+1)),0))</x:f>
        <x:v>1</x:v>
      </x:c>
      <x:c r="K53" s="58" t="n">
        <x:v>46156</x:v>
      </x:c>
    </x:row>
    <x:row r="54">
      <x:c r="A54" t="str">
        <x:v>fed2b60b-61eb-41a5-b35d-8c25b367fb45</x:v>
      </x:c>
      <x:c r="B54" t="str">
        <x:v>박철홍정형외과</x:v>
      </x:c>
      <x:c r="C54" t="str">
        <x:v>김수지</x:v>
      </x:c>
      <x:c r="D54" t="str">
        <x:v>연차 (1.0)</x:v>
      </x:c>
      <x:c r="E54" s="47" t="n">
        <x:v>46171</x:v>
      </x:c>
      <x:c r="F54" s="47" t="n">
        <x:v>46171</x:v>
      </x:c>
      <x:c r="G54" s="56"/>
      <x:c r="H54" t="str">
        <x:v>승인</x:v>
      </x:c>
      <x:c r="I54" t="str">
        <x:v>개인사정</x:v>
      </x:c>
      <x:c r="J54" s="56" t="n">
        <x:f>IF(OR(ISNUMBER(SEARCH("반차",D54)),ISNUMBER(SEARCH("0.5",D54))),IF(G54&gt;0,G54,0.5),IF(AND(ISNUMBER(SEARCH("연차",D54)),NOT(ISNUMBER(SEARCH("부여",D54)))),IF(G54&lt;&gt;"",G54,MAX(1,F54-E54+1)),0))</x:f>
        <x:v>1</x:v>
      </x:c>
      <x:c r="K54" s="58" t="n">
        <x:v>46161</x:v>
      </x:c>
    </x:row>
    <x:row r="55">
      <x:c r="A55" t="str">
        <x:v>fed2b60b-61eb-41a5-b35d-8c25b367fb45</x:v>
      </x:c>
      <x:c r="B55" t="str">
        <x:v>박철홍정형외과</x:v>
      </x:c>
      <x:c r="C55" t="str">
        <x:v>김수지</x:v>
      </x:c>
      <x:c r="D55" t="str">
        <x:v>연차 (1.0)</x:v>
      </x:c>
      <x:c r="E55" s="47" t="n">
        <x:v>46202</x:v>
      </x:c>
      <x:c r="F55" s="47" t="n">
        <x:v>46202</x:v>
      </x:c>
      <x:c r="G55" s="56"/>
      <x:c r="H55" t="str">
        <x:v>승인</x:v>
      </x:c>
      <x:c r="I55" t="str">
        <x:v>개인사정</x:v>
      </x:c>
      <x:c r="J55" s="56" t="n">
        <x:f>IF(OR(ISNUMBER(SEARCH("반차",D55)),ISNUMBER(SEARCH("0.5",D55))),IF(G55&gt;0,G55,0.5),IF(AND(ISNUMBER(SEARCH("연차",D55)),NOT(ISNUMBER(SEARCH("부여",D55)))),IF(G55&lt;&gt;"",G55,MAX(1,F55-E55+1)),0))</x:f>
        <x:v>1</x:v>
      </x:c>
      <x:c r="K55" s="58" t="n">
        <x:v>46199</x:v>
      </x:c>
    </x:row>
    <x:row r="56">
      <x:c r="A56" t="str">
        <x:v>36481ba4-e1ad-457b-b264-bd3fbe2f3637</x:v>
      </x:c>
      <x:c r="B56" t="str">
        <x:v>박철홍정형외과</x:v>
      </x:c>
      <x:c r="C56" t="str">
        <x:v>김영대</x:v>
      </x:c>
      <x:c r="D56" t="str">
        <x:v>연차(이력)</x:v>
      </x:c>
      <x:c r="E56" s="47" t="n">
        <x:v>45771</x:v>
      </x:c>
      <x:c r="F56" s="47" t="n">
        <x:v>45771</x:v>
      </x:c>
      <x:c r="G56" s="56"/>
      <x:c r="H56" t="str">
        <x:v>승인</x:v>
      </x:c>
      <x:c r="I56" t="str">
        <x:v>연차관리대장 일괄 반영(2026-05-14)</x:v>
      </x:c>
      <x:c r="J56" s="56" t="n">
        <x:f>IF(OR(ISNUMBER(SEARCH("반차",D56)),ISNUMBER(SEARCH("0.5",D56))),IF(G56&gt;0,G56,0.5),IF(AND(ISNUMBER(SEARCH("연차",D56)),NOT(ISNUMBER(SEARCH("부여",D56)))),IF(G56&lt;&gt;"",G56,MAX(1,F56-E56+1)),0))</x:f>
        <x:v>1</x:v>
      </x:c>
      <x:c r="K56" s="58" t="n">
        <x:v>46156</x:v>
      </x:c>
    </x:row>
    <x:row r="57">
      <x:c r="A57" t="str">
        <x:v>36481ba4-e1ad-457b-b264-bd3fbe2f3637</x:v>
      </x:c>
      <x:c r="B57" t="str">
        <x:v>박철홍정형외과</x:v>
      </x:c>
      <x:c r="C57" t="str">
        <x:v>김영대</x:v>
      </x:c>
      <x:c r="D57" t="str">
        <x:v>연차(이력)</x:v>
      </x:c>
      <x:c r="E57" s="47" t="n">
        <x:v>45874</x:v>
      </x:c>
      <x:c r="F57" s="47" t="n">
        <x:v>45874</x:v>
      </x:c>
      <x:c r="G57" s="56"/>
      <x:c r="H57" t="str">
        <x:v>승인</x:v>
      </x:c>
      <x:c r="I57" t="str">
        <x:v>연차관리대장 일괄 반영(2026-05-14)</x:v>
      </x:c>
      <x:c r="J57" s="56" t="n">
        <x:f>IF(OR(ISNUMBER(SEARCH("반차",D57)),ISNUMBER(SEARCH("0.5",D57))),IF(G57&gt;0,G57,0.5),IF(AND(ISNUMBER(SEARCH("연차",D57)),NOT(ISNUMBER(SEARCH("부여",D57)))),IF(G57&lt;&gt;"",G57,MAX(1,F57-E57+1)),0))</x:f>
        <x:v>1</x:v>
      </x:c>
      <x:c r="K57" s="58" t="n">
        <x:v>46156</x:v>
      </x:c>
    </x:row>
    <x:row r="58">
      <x:c r="A58" t="str">
        <x:v>36481ba4-e1ad-457b-b264-bd3fbe2f3637</x:v>
      </x:c>
      <x:c r="B58" t="str">
        <x:v>박철홍정형외과</x:v>
      </x:c>
      <x:c r="C58" t="str">
        <x:v>김영대</x:v>
      </x:c>
      <x:c r="D58" t="str">
        <x:v>연차(이력)</x:v>
      </x:c>
      <x:c r="E58" s="47" t="n">
        <x:v>45875</x:v>
      </x:c>
      <x:c r="F58" s="47" t="n">
        <x:v>45875</x:v>
      </x:c>
      <x:c r="G58" s="56"/>
      <x:c r="H58" t="str">
        <x:v>승인</x:v>
      </x:c>
      <x:c r="I58" t="str">
        <x:v>연차관리대장 일괄 반영(2026-05-14)</x:v>
      </x:c>
      <x:c r="J58" s="56" t="n">
        <x:f>IF(OR(ISNUMBER(SEARCH("반차",D58)),ISNUMBER(SEARCH("0.5",D58))),IF(G58&gt;0,G58,0.5),IF(AND(ISNUMBER(SEARCH("연차",D58)),NOT(ISNUMBER(SEARCH("부여",D58)))),IF(G58&lt;&gt;"",G58,MAX(1,F58-E58+1)),0))</x:f>
        <x:v>1</x:v>
      </x:c>
      <x:c r="K58" s="58" t="n">
        <x:v>46156</x:v>
      </x:c>
    </x:row>
    <x:row r="59">
      <x:c r="A59" t="str">
        <x:v>36481ba4-e1ad-457b-b264-bd3fbe2f3637</x:v>
      </x:c>
      <x:c r="B59" t="str">
        <x:v>박철홍정형외과</x:v>
      </x:c>
      <x:c r="C59" t="str">
        <x:v>김영대</x:v>
      </x:c>
      <x:c r="D59" t="str">
        <x:v>연차(이력)</x:v>
      </x:c>
      <x:c r="E59" s="47" t="n">
        <x:v>45876</x:v>
      </x:c>
      <x:c r="F59" s="47" t="n">
        <x:v>45876</x:v>
      </x:c>
      <x:c r="G59" s="56"/>
      <x:c r="H59" t="str">
        <x:v>승인</x:v>
      </x:c>
      <x:c r="I59" t="str">
        <x:v>연차관리대장 일괄 반영(2026-05-14)</x:v>
      </x:c>
      <x:c r="J59" s="56" t="n">
        <x:f>IF(OR(ISNUMBER(SEARCH("반차",D59)),ISNUMBER(SEARCH("0.5",D59))),IF(G59&gt;0,G59,0.5),IF(AND(ISNUMBER(SEARCH("연차",D59)),NOT(ISNUMBER(SEARCH("부여",D59)))),IF(G59&lt;&gt;"",G59,MAX(1,F59-E59+1)),0))</x:f>
        <x:v>1</x:v>
      </x:c>
      <x:c r="K59" s="58" t="n">
        <x:v>46156</x:v>
      </x:c>
    </x:row>
    <x:row r="60">
      <x:c r="A60" t="str">
        <x:v>36481ba4-e1ad-457b-b264-bd3fbe2f3637</x:v>
      </x:c>
      <x:c r="B60" t="str">
        <x:v>박철홍정형외과</x:v>
      </x:c>
      <x:c r="C60" t="str">
        <x:v>김영대</x:v>
      </x:c>
      <x:c r="D60" t="str">
        <x:v>연차(이력)</x:v>
      </x:c>
      <x:c r="E60" s="47" t="n">
        <x:v>45952</x:v>
      </x:c>
      <x:c r="F60" s="47" t="n">
        <x:v>45952</x:v>
      </x:c>
      <x:c r="G60" s="56"/>
      <x:c r="H60" t="str">
        <x:v>승인</x:v>
      </x:c>
      <x:c r="I60" t="str">
        <x:v>연차관리대장 일괄 반영(2026-05-14)</x:v>
      </x:c>
      <x:c r="J60" s="56" t="n">
        <x:f>IF(OR(ISNUMBER(SEARCH("반차",D60)),ISNUMBER(SEARCH("0.5",D60))),IF(G60&gt;0,G60,0.5),IF(AND(ISNUMBER(SEARCH("연차",D60)),NOT(ISNUMBER(SEARCH("부여",D60)))),IF(G60&lt;&gt;"",G60,MAX(1,F60-E60+1)),0))</x:f>
        <x:v>1</x:v>
      </x:c>
      <x:c r="K60" s="58" t="n">
        <x:v>46156</x:v>
      </x:c>
    </x:row>
    <x:row r="61">
      <x:c r="A61" t="str">
        <x:v>36481ba4-e1ad-457b-b264-bd3fbe2f3637</x:v>
      </x:c>
      <x:c r="B61" t="str">
        <x:v>박철홍정형외과</x:v>
      </x:c>
      <x:c r="C61" t="str">
        <x:v>김영대</x:v>
      </x:c>
      <x:c r="D61" t="str">
        <x:v>연차(이력)</x:v>
      </x:c>
      <x:c r="E61" s="47" t="n">
        <x:v>46022</x:v>
      </x:c>
      <x:c r="F61" s="47" t="n">
        <x:v>46022</x:v>
      </x:c>
      <x:c r="G61" s="56"/>
      <x:c r="H61" t="str">
        <x:v>승인</x:v>
      </x:c>
      <x:c r="I61" t="str">
        <x:v>연차관리대장 일괄 반영(2026-05-14)</x:v>
      </x:c>
      <x:c r="J61" s="56" t="n">
        <x:f>IF(OR(ISNUMBER(SEARCH("반차",D61)),ISNUMBER(SEARCH("0.5",D61))),IF(G61&gt;0,G61,0.5),IF(AND(ISNUMBER(SEARCH("연차",D61)),NOT(ISNUMBER(SEARCH("부여",D61)))),IF(G61&lt;&gt;"",G61,MAX(1,F61-E61+1)),0))</x:f>
        <x:v>1</x:v>
      </x:c>
      <x:c r="K61" s="58" t="n">
        <x:v>46156</x:v>
      </x:c>
    </x:row>
    <x:row r="62">
      <x:c r="A62" t="str">
        <x:v>36481ba4-e1ad-457b-b264-bd3fbe2f3637</x:v>
      </x:c>
      <x:c r="B62" t="str">
        <x:v>박철홍정형외과</x:v>
      </x:c>
      <x:c r="C62" t="str">
        <x:v>김영대</x:v>
      </x:c>
      <x:c r="D62" t="str">
        <x:v>연차(이력)</x:v>
      </x:c>
      <x:c r="E62" s="47" t="n">
        <x:v>46036</x:v>
      </x:c>
      <x:c r="F62" s="47" t="n">
        <x:v>46036</x:v>
      </x:c>
      <x:c r="G62" s="56"/>
      <x:c r="H62" t="str">
        <x:v>승인</x:v>
      </x:c>
      <x:c r="I62" t="str">
        <x:v>연차관리대장 일괄 반영(2026-05-14)</x:v>
      </x:c>
      <x:c r="J62" s="56" t="n">
        <x:f>IF(OR(ISNUMBER(SEARCH("반차",D62)),ISNUMBER(SEARCH("0.5",D62))),IF(G62&gt;0,G62,0.5),IF(AND(ISNUMBER(SEARCH("연차",D62)),NOT(ISNUMBER(SEARCH("부여",D62)))),IF(G62&lt;&gt;"",G62,MAX(1,F62-E62+1)),0))</x:f>
        <x:v>1</x:v>
      </x:c>
      <x:c r="K62" s="58" t="n">
        <x:v>46156</x:v>
      </x:c>
    </x:row>
    <x:row r="63">
      <x:c r="A63" t="str">
        <x:v>36481ba4-e1ad-457b-b264-bd3fbe2f3637</x:v>
      </x:c>
      <x:c r="B63" t="str">
        <x:v>박철홍정형외과</x:v>
      </x:c>
      <x:c r="C63" t="str">
        <x:v>김영대</x:v>
      </x:c>
      <x:c r="D63" t="str">
        <x:v>연차(이력)</x:v>
      </x:c>
      <x:c r="E63" s="47" t="n">
        <x:v>46049</x:v>
      </x:c>
      <x:c r="F63" s="47" t="n">
        <x:v>46049</x:v>
      </x:c>
      <x:c r="G63" s="56"/>
      <x:c r="H63" t="str">
        <x:v>승인</x:v>
      </x:c>
      <x:c r="I63" t="str">
        <x:v>연차관리대장 일괄 반영(2026-05-14)</x:v>
      </x:c>
      <x:c r="J63" s="56" t="n">
        <x:f>IF(OR(ISNUMBER(SEARCH("반차",D63)),ISNUMBER(SEARCH("0.5",D63))),IF(G63&gt;0,G63,0.5),IF(AND(ISNUMBER(SEARCH("연차",D63)),NOT(ISNUMBER(SEARCH("부여",D63)))),IF(G63&lt;&gt;"",G63,MAX(1,F63-E63+1)),0))</x:f>
        <x:v>1</x:v>
      </x:c>
      <x:c r="K63" s="58" t="n">
        <x:v>46156</x:v>
      </x:c>
    </x:row>
    <x:row r="64">
      <x:c r="A64" t="str">
        <x:v>36481ba4-e1ad-457b-b264-bd3fbe2f3637</x:v>
      </x:c>
      <x:c r="B64" t="str">
        <x:v>박철홍정형외과</x:v>
      </x:c>
      <x:c r="C64" t="str">
        <x:v>김영대</x:v>
      </x:c>
      <x:c r="D64" t="str">
        <x:v>연차(이력)</x:v>
      </x:c>
      <x:c r="E64" s="47" t="n">
        <x:v>46079</x:v>
      </x:c>
      <x:c r="F64" s="47" t="n">
        <x:v>46079</x:v>
      </x:c>
      <x:c r="G64" s="56"/>
      <x:c r="H64" t="str">
        <x:v>승인</x:v>
      </x:c>
      <x:c r="I64" t="str">
        <x:v>연차관리대장 일괄 반영(2026-05-14)</x:v>
      </x:c>
      <x:c r="J64" s="56" t="n">
        <x:f>IF(OR(ISNUMBER(SEARCH("반차",D64)),ISNUMBER(SEARCH("0.5",D64))),IF(G64&gt;0,G64,0.5),IF(AND(ISNUMBER(SEARCH("연차",D64)),NOT(ISNUMBER(SEARCH("부여",D64)))),IF(G64&lt;&gt;"",G64,MAX(1,F64-E64+1)),0))</x:f>
        <x:v>1</x:v>
      </x:c>
      <x:c r="K64" s="58" t="n">
        <x:v>46156</x:v>
      </x:c>
    </x:row>
    <x:row r="65">
      <x:c r="A65" t="str">
        <x:v>36481ba4-e1ad-457b-b264-bd3fbe2f3637</x:v>
      </x:c>
      <x:c r="B65" t="str">
        <x:v>박철홍정형외과</x:v>
      </x:c>
      <x:c r="C65" t="str">
        <x:v>김영대</x:v>
      </x:c>
      <x:c r="D65" t="str">
        <x:v>연차(이력)</x:v>
      </x:c>
      <x:c r="E65" s="47" t="n">
        <x:v>46093</x:v>
      </x:c>
      <x:c r="F65" s="47" t="n">
        <x:v>46093</x:v>
      </x:c>
      <x:c r="G65" s="56"/>
      <x:c r="H65" t="str">
        <x:v>승인</x:v>
      </x:c>
      <x:c r="I65" t="str">
        <x:v>연차관리대장 일괄 반영(2026-05-14)</x:v>
      </x:c>
      <x:c r="J65" s="56" t="n">
        <x:f>IF(OR(ISNUMBER(SEARCH("반차",D65)),ISNUMBER(SEARCH("0.5",D65))),IF(G65&gt;0,G65,0.5),IF(AND(ISNUMBER(SEARCH("연차",D65)),NOT(ISNUMBER(SEARCH("부여",D65)))),IF(G65&lt;&gt;"",G65,MAX(1,F65-E65+1)),0))</x:f>
        <x:v>1</x:v>
      </x:c>
      <x:c r="K65" s="58" t="n">
        <x:v>46156</x:v>
      </x:c>
    </x:row>
    <x:row r="66">
      <x:c r="A66" t="str">
        <x:v>36481ba4-e1ad-457b-b264-bd3fbe2f3637</x:v>
      </x:c>
      <x:c r="B66" t="str">
        <x:v>박철홍정형외과</x:v>
      </x:c>
      <x:c r="C66" t="str">
        <x:v>김영대</x:v>
      </x:c>
      <x:c r="D66" t="str">
        <x:v>연차</x:v>
      </x:c>
      <x:c r="E66" s="47" t="n">
        <x:v>46115</x:v>
      </x:c>
      <x:c r="F66" s="47" t="n">
        <x:v>46115</x:v>
      </x:c>
      <x:c r="G66" s="56"/>
      <x:c r="H66" t="str">
        <x:v>승인</x:v>
      </x:c>
      <x:c r="I66" t="str">
        <x:v>연차관리대장 일괄 반영(2026-05-14)</x:v>
      </x:c>
      <x:c r="J66" s="56" t="n">
        <x:f>IF(OR(ISNUMBER(SEARCH("반차",D66)),ISNUMBER(SEARCH("0.5",D66))),IF(G66&gt;0,G66,0.5),IF(AND(ISNUMBER(SEARCH("연차",D66)),NOT(ISNUMBER(SEARCH("부여",D66)))),IF(G66&lt;&gt;"",G66,MAX(1,F66-E66+1)),0))</x:f>
        <x:v>1</x:v>
      </x:c>
      <x:c r="K66" s="58" t="n">
        <x:v>46156</x:v>
      </x:c>
    </x:row>
    <x:row r="67">
      <x:c r="A67" t="str">
        <x:v>36481ba4-e1ad-457b-b264-bd3fbe2f3637</x:v>
      </x:c>
      <x:c r="B67" t="str">
        <x:v>박철홍정형외과</x:v>
      </x:c>
      <x:c r="C67" t="str">
        <x:v>김영대</x:v>
      </x:c>
      <x:c r="D67" t="str">
        <x:v>연차 (1.0)</x:v>
      </x:c>
      <x:c r="E67" s="47" t="n">
        <x:v>46177</x:v>
      </x:c>
      <x:c r="F67" s="47" t="n">
        <x:v>46177</x:v>
      </x:c>
      <x:c r="G67" s="56"/>
      <x:c r="H67" t="str">
        <x:v>승인</x:v>
      </x:c>
      <x:c r="I67" t="str">
        <x:v>개인사정으로인해 연차 신청하려합니다</x:v>
      </x:c>
      <x:c r="J67" s="56" t="n">
        <x:f>IF(OR(ISNUMBER(SEARCH("반차",D67)),ISNUMBER(SEARCH("0.5",D67))),IF(G67&gt;0,G67,0.5),IF(AND(ISNUMBER(SEARCH("연차",D67)),NOT(ISNUMBER(SEARCH("부여",D67)))),IF(G67&lt;&gt;"",G67,MAX(1,F67-E67+1)),0))</x:f>
        <x:v>1</x:v>
      </x:c>
      <x:c r="K67" s="58" t="n">
        <x:v>46168</x:v>
      </x:c>
    </x:row>
    <x:row r="68">
      <x:c r="A68" t="str">
        <x:v>36481ba4-e1ad-457b-b264-bd3fbe2f3637</x:v>
      </x:c>
      <x:c r="B68" t="str">
        <x:v>박철홍정형외과</x:v>
      </x:c>
      <x:c r="C68" t="str">
        <x:v>김영대</x:v>
      </x:c>
      <x:c r="D68" t="str">
        <x:v>연차(부여)</x:v>
      </x:c>
      <x:c r="E68" s="47" t="n">
        <x:v>46210</x:v>
      </x:c>
      <x:c r="F68" s="47" t="n">
        <x:v>46210</x:v>
      </x:c>
      <x:c r="G68" s="56" t="n">
        <x:v>0.5</x:v>
      </x:c>
      <x:c r="H68" t="str">
        <x:v>승인</x:v>
      </x:c>
      <x:c r="I68" t="str">
        <x:v>5/5근무(0.5)</x:v>
      </x:c>
      <x:c r="J68" s="56" t="n">
        <x:f>IF(OR(ISNUMBER(SEARCH("반차",D68)),ISNUMBER(SEARCH("0.5",D68))),IF(G68&gt;0,G68,0.5),IF(AND(ISNUMBER(SEARCH("연차",D68)),NOT(ISNUMBER(SEARCH("부여",D68)))),IF(G68&lt;&gt;"",G68,MAX(1,F68-E68+1)),0))</x:f>
        <x:v>0</x:v>
      </x:c>
      <x:c r="K68" s="58" t="n">
        <x:v>46210</x:v>
      </x:c>
    </x:row>
    <x:row r="69">
      <x:c r="A69" t="str">
        <x:v>36481ba4-e1ad-457b-b264-bd3fbe2f3637</x:v>
      </x:c>
      <x:c r="B69" t="str">
        <x:v>박철홍정형외과</x:v>
      </x:c>
      <x:c r="C69" t="str">
        <x:v>김영대</x:v>
      </x:c>
      <x:c r="D69" t="str">
        <x:v>연차 (1.0)</x:v>
      </x:c>
      <x:c r="E69" s="47" t="n">
        <x:v>46211</x:v>
      </x:c>
      <x:c r="F69" s="47" t="n">
        <x:v>46211</x:v>
      </x:c>
      <x:c r="G69" s="56"/>
      <x:c r="H69" t="str">
        <x:v>승인</x:v>
      </x:c>
      <x:c r="I69" t="str">
        <x:v>5월5일 오전근무, 6월3일 오전근무  (휴일대체근무) 한걸로 7월8일 개인사정으로 연차신청하려고합니다 
업무대행자 김재영 샘입니다  위에 선택란에서 선택이 안되요</x:v>
      </x:c>
      <x:c r="J69" s="56" t="n">
        <x:f>IF(OR(ISNUMBER(SEARCH("반차",D69)),ISNUMBER(SEARCH("0.5",D69))),IF(G69&gt;0,G69,0.5),IF(AND(ISNUMBER(SEARCH("연차",D69)),NOT(ISNUMBER(SEARCH("부여",D69)))),IF(G69&lt;&gt;"",G69,MAX(1,F69-E69+1)),0))</x:f>
        <x:v>1</x:v>
      </x:c>
      <x:c r="K69" s="58" t="n">
        <x:v>46198</x:v>
      </x:c>
    </x:row>
    <x:row r="70">
      <x:c r="A70" t="str">
        <x:v>36481ba4-e1ad-457b-b264-bd3fbe2f3637</x:v>
      </x:c>
      <x:c r="B70" t="str">
        <x:v>박철홍정형외과</x:v>
      </x:c>
      <x:c r="C70" t="str">
        <x:v>김영대</x:v>
      </x:c>
      <x:c r="D70" t="str">
        <x:v>연차</x:v>
      </x:c>
      <x:c r="E70" s="47" t="n">
        <x:v>46244</x:v>
      </x:c>
      <x:c r="F70" s="47" t="n">
        <x:v>46245</x:v>
      </x:c>
      <x:c r="G70" s="56" t="n">
        <x:v>2</x:v>
      </x:c>
      <x:c r="H70" t="str">
        <x:v>승인</x:v>
      </x:c>
      <x:c r="I70" t="str">
        <x:v>개인사정으로인해 8월10~11일 2틀간 연차를 신청합니다</x:v>
      </x:c>
      <x:c r="J70" s="56" t="n">
        <x:f>IF(OR(ISNUMBER(SEARCH("반차",D70)),ISNUMBER(SEARCH("0.5",D70))),IF(G70&gt;0,G70,0.5),IF(AND(ISNUMBER(SEARCH("연차",D70)),NOT(ISNUMBER(SEARCH("부여",D70)))),IF(G70&lt;&gt;"",G70,MAX(1,F70-E70+1)),0))</x:f>
        <x:v>2</x:v>
      </x:c>
      <x:c r="K70" s="58" t="n">
        <x:v>46226</x:v>
      </x:c>
    </x:row>
    <x:row r="71">
      <x:c r="A71" t="str">
        <x:v>86c32af1-8e07-4b88-b914-01f6de180a65</x:v>
      </x:c>
      <x:c r="B71" t="str">
        <x:v>박철홍정형외과</x:v>
      </x:c>
      <x:c r="C71" t="str">
        <x:v>김재영</x:v>
      </x:c>
      <x:c r="D71" t="str">
        <x:v>연차 (1.0)</x:v>
      </x:c>
      <x:c r="E71" s="47" t="n">
        <x:v>46216</x:v>
      </x:c>
      <x:c r="F71" s="47" t="n">
        <x:v>46216</x:v>
      </x:c>
      <x:c r="G71" s="56"/>
      <x:c r="H71" t="str">
        <x:v>승인</x:v>
      </x:c>
      <x:c r="I71" t="str">
        <x:v>개인사정으로 인해 7월 13일 연차를 신청합니다.</x:v>
      </x:c>
      <x:c r="J71" s="56" t="n">
        <x:f>IF(OR(ISNUMBER(SEARCH("반차",D71)),ISNUMBER(SEARCH("0.5",D71))),IF(G71&gt;0,G71,0.5),IF(AND(ISNUMBER(SEARCH("연차",D71)),NOT(ISNUMBER(SEARCH("부여",D71)))),IF(G71&lt;&gt;"",G71,MAX(1,F71-E71+1)),0))</x:f>
        <x:v>1</x:v>
      </x:c>
      <x:c r="K71" s="58" t="n">
        <x:v>46199</x:v>
      </x:c>
    </x:row>
    <x:row r="72">
      <x:c r="A72" t="str">
        <x:v>5bf3e720-85f2-41db-880e-2324ac47533d</x:v>
      </x:c>
      <x:c r="B72" t="str">
        <x:v>박철홍정형외과</x:v>
      </x:c>
      <x:c r="C72" t="str">
        <x:v>김정수</x:v>
      </x:c>
      <x:c r="D72" t="str">
        <x:v>연차 (1.0)</x:v>
      </x:c>
      <x:c r="E72" s="47" t="n">
        <x:v>46169</x:v>
      </x:c>
      <x:c r="F72" s="47" t="n">
        <x:v>46169</x:v>
      </x:c>
      <x:c r="G72" s="56"/>
      <x:c r="H72" t="str">
        <x:v>승인</x:v>
      </x:c>
      <x:c r="I72" t="str">
        <x:v>26.05.27 개인 사유로 인한 연차 신청합니다</x:v>
      </x:c>
      <x:c r="J72" s="56" t="n">
        <x:f>IF(OR(ISNUMBER(SEARCH("반차",D72)),ISNUMBER(SEARCH("0.5",D72))),IF(G72&gt;0,G72,0.5),IF(AND(ISNUMBER(SEARCH("연차",D72)),NOT(ISNUMBER(SEARCH("부여",D72)))),IF(G72&lt;&gt;"",G72,MAX(1,F72-E72+1)),0))</x:f>
        <x:v>1</x:v>
      </x:c>
      <x:c r="K72" s="58" t="n">
        <x:v>46168</x:v>
      </x:c>
    </x:row>
    <x:row r="73">
      <x:c r="A73" t="str">
        <x:v>420a6c33-1c5e-4e6e-806a-fc5db10e6ca9</x:v>
      </x:c>
      <x:c r="B73" t="str">
        <x:v>박철홍정형외과</x:v>
      </x:c>
      <x:c r="C73" t="str">
        <x:v>김지오</x:v>
      </x:c>
      <x:c r="D73" t="str">
        <x:v>연차(이력)</x:v>
      </x:c>
      <x:c r="E73" s="47" t="n">
        <x:v>45748</x:v>
      </x:c>
      <x:c r="F73" s="47" t="n">
        <x:v>45748</x:v>
      </x:c>
      <x:c r="G73" s="56"/>
      <x:c r="H73" t="str">
        <x:v>승인</x:v>
      </x:c>
      <x:c r="I73" t="str">
        <x:v>연차관리대장 일괄 반영(2026-05-14)</x:v>
      </x:c>
      <x:c r="J73" s="56" t="n">
        <x:f>IF(OR(ISNUMBER(SEARCH("반차",D73)),ISNUMBER(SEARCH("0.5",D73))),IF(G73&gt;0,G73,0.5),IF(AND(ISNUMBER(SEARCH("연차",D73)),NOT(ISNUMBER(SEARCH("부여",D73)))),IF(G73&lt;&gt;"",G73,MAX(1,F73-E73+1)),0))</x:f>
        <x:v>1</x:v>
      </x:c>
      <x:c r="K73" s="58" t="n">
        <x:v>46156</x:v>
      </x:c>
    </x:row>
    <x:row r="74">
      <x:c r="A74" t="str">
        <x:v>420a6c33-1c5e-4e6e-806a-fc5db10e6ca9</x:v>
      </x:c>
      <x:c r="B74" t="str">
        <x:v>박철홍정형외과</x:v>
      </x:c>
      <x:c r="C74" t="str">
        <x:v>김지오</x:v>
      </x:c>
      <x:c r="D74" t="str">
        <x:v>연차(이력)</x:v>
      </x:c>
      <x:c r="E74" s="47" t="n">
        <x:v>45889</x:v>
      </x:c>
      <x:c r="F74" s="47" t="n">
        <x:v>45889</x:v>
      </x:c>
      <x:c r="G74" s="56"/>
      <x:c r="H74" t="str">
        <x:v>승인</x:v>
      </x:c>
      <x:c r="I74" t="str">
        <x:v>연차관리대장 일괄 반영(2026-05-14)</x:v>
      </x:c>
      <x:c r="J74" s="56" t="n">
        <x:f>IF(OR(ISNUMBER(SEARCH("반차",D74)),ISNUMBER(SEARCH("0.5",D74))),IF(G74&gt;0,G74,0.5),IF(AND(ISNUMBER(SEARCH("연차",D74)),NOT(ISNUMBER(SEARCH("부여",D74)))),IF(G74&lt;&gt;"",G74,MAX(1,F74-E74+1)),0))</x:f>
        <x:v>1</x:v>
      </x:c>
      <x:c r="K74" s="58" t="n">
        <x:v>46156</x:v>
      </x:c>
    </x:row>
    <x:row r="75">
      <x:c r="A75" t="str">
        <x:v>420a6c33-1c5e-4e6e-806a-fc5db10e6ca9</x:v>
      </x:c>
      <x:c r="B75" t="str">
        <x:v>박철홍정형외과</x:v>
      </x:c>
      <x:c r="C75" t="str">
        <x:v>김지오</x:v>
      </x:c>
      <x:c r="D75" t="str">
        <x:v>연차(이력)</x:v>
      </x:c>
      <x:c r="E75" s="47" t="n">
        <x:v>45924</x:v>
      </x:c>
      <x:c r="F75" s="47" t="n">
        <x:v>45924</x:v>
      </x:c>
      <x:c r="G75" s="56"/>
      <x:c r="H75" t="str">
        <x:v>승인</x:v>
      </x:c>
      <x:c r="I75" t="str">
        <x:v>연차관리대장 일괄 반영(2026-05-14)</x:v>
      </x:c>
      <x:c r="J75" s="56" t="n">
        <x:f>IF(OR(ISNUMBER(SEARCH("반차",D75)),ISNUMBER(SEARCH("0.5",D75))),IF(G75&gt;0,G75,0.5),IF(AND(ISNUMBER(SEARCH("연차",D75)),NOT(ISNUMBER(SEARCH("부여",D75)))),IF(G75&lt;&gt;"",G75,MAX(1,F75-E75+1)),0))</x:f>
        <x:v>1</x:v>
      </x:c>
      <x:c r="K75" s="58" t="n">
        <x:v>46156</x:v>
      </x:c>
    </x:row>
    <x:row r="76">
      <x:c r="A76" t="str">
        <x:v>420a6c33-1c5e-4e6e-806a-fc5db10e6ca9</x:v>
      </x:c>
      <x:c r="B76" t="str">
        <x:v>박철홍정형외과</x:v>
      </x:c>
      <x:c r="C76" t="str">
        <x:v>김지오</x:v>
      </x:c>
      <x:c r="D76" t="str">
        <x:v>연차(이력)</x:v>
      </x:c>
      <x:c r="E76" s="47" t="n">
        <x:v>46030</x:v>
      </x:c>
      <x:c r="F76" s="47" t="n">
        <x:v>46030</x:v>
      </x:c>
      <x:c r="G76" s="56"/>
      <x:c r="H76" t="str">
        <x:v>승인</x:v>
      </x:c>
      <x:c r="I76" t="str">
        <x:v>연차관리대장 일괄 반영(2026-05-14)</x:v>
      </x:c>
      <x:c r="J76" s="56" t="n">
        <x:f>IF(OR(ISNUMBER(SEARCH("반차",D76)),ISNUMBER(SEARCH("0.5",D76))),IF(G76&gt;0,G76,0.5),IF(AND(ISNUMBER(SEARCH("연차",D76)),NOT(ISNUMBER(SEARCH("부여",D76)))),IF(G76&lt;&gt;"",G76,MAX(1,F76-E76+1)),0))</x:f>
        <x:v>1</x:v>
      </x:c>
      <x:c r="K76" s="58" t="n">
        <x:v>46156</x:v>
      </x:c>
    </x:row>
    <x:row r="77">
      <x:c r="A77" t="str">
        <x:v>420a6c33-1c5e-4e6e-806a-fc5db10e6ca9</x:v>
      </x:c>
      <x:c r="B77" t="str">
        <x:v>박철홍정형외과</x:v>
      </x:c>
      <x:c r="C77" t="str">
        <x:v>김지오</x:v>
      </x:c>
      <x:c r="D77" t="str">
        <x:v>연차(이력)</x:v>
      </x:c>
      <x:c r="E77" s="47" t="n">
        <x:v>46037</x:v>
      </x:c>
      <x:c r="F77" s="47" t="n">
        <x:v>46037</x:v>
      </x:c>
      <x:c r="G77" s="56"/>
      <x:c r="H77" t="str">
        <x:v>승인</x:v>
      </x:c>
      <x:c r="I77" t="str">
        <x:v>연차관리대장 일괄 반영(2026-05-14)</x:v>
      </x:c>
      <x:c r="J77" s="56" t="n">
        <x:f>IF(OR(ISNUMBER(SEARCH("반차",D77)),ISNUMBER(SEARCH("0.5",D77))),IF(G77&gt;0,G77,0.5),IF(AND(ISNUMBER(SEARCH("연차",D77)),NOT(ISNUMBER(SEARCH("부여",D77)))),IF(G77&lt;&gt;"",G77,MAX(1,F77-E77+1)),0))</x:f>
        <x:v>1</x:v>
      </x:c>
      <x:c r="K77" s="58" t="n">
        <x:v>46156</x:v>
      </x:c>
    </x:row>
    <x:row r="78">
      <x:c r="A78" t="str">
        <x:v>420a6c33-1c5e-4e6e-806a-fc5db10e6ca9</x:v>
      </x:c>
      <x:c r="B78" t="str">
        <x:v>박철홍정형외과</x:v>
      </x:c>
      <x:c r="C78" t="str">
        <x:v>김지오</x:v>
      </x:c>
      <x:c r="D78" t="str">
        <x:v>연차(이력)</x:v>
      </x:c>
      <x:c r="E78" s="47" t="n">
        <x:v>46044</x:v>
      </x:c>
      <x:c r="F78" s="47" t="n">
        <x:v>46044</x:v>
      </x:c>
      <x:c r="G78" s="56"/>
      <x:c r="H78" t="str">
        <x:v>승인</x:v>
      </x:c>
      <x:c r="I78" t="str">
        <x:v>연차관리대장 일괄 반영(2026-05-14)</x:v>
      </x:c>
      <x:c r="J78" s="56" t="n">
        <x:f>IF(OR(ISNUMBER(SEARCH("반차",D78)),ISNUMBER(SEARCH("0.5",D78))),IF(G78&gt;0,G78,0.5),IF(AND(ISNUMBER(SEARCH("연차",D78)),NOT(ISNUMBER(SEARCH("부여",D78)))),IF(G78&lt;&gt;"",G78,MAX(1,F78-E78+1)),0))</x:f>
        <x:v>1</x:v>
      </x:c>
      <x:c r="K78" s="58" t="n">
        <x:v>46156</x:v>
      </x:c>
    </x:row>
    <x:row r="79">
      <x:c r="A79" t="str">
        <x:v>420a6c33-1c5e-4e6e-806a-fc5db10e6ca9</x:v>
      </x:c>
      <x:c r="B79" t="str">
        <x:v>박철홍정형외과</x:v>
      </x:c>
      <x:c r="C79" t="str">
        <x:v>김지오</x:v>
      </x:c>
      <x:c r="D79" t="str">
        <x:v>연차(이력)</x:v>
      </x:c>
      <x:c r="E79" s="47" t="n">
        <x:v>46072</x:v>
      </x:c>
      <x:c r="F79" s="47" t="n">
        <x:v>46072</x:v>
      </x:c>
      <x:c r="G79" s="56"/>
      <x:c r="H79" t="str">
        <x:v>승인</x:v>
      </x:c>
      <x:c r="I79" t="str">
        <x:v>연차관리대장 일괄 반영(2026-05-14)</x:v>
      </x:c>
      <x:c r="J79" s="56" t="n">
        <x:f>IF(OR(ISNUMBER(SEARCH("반차",D79)),ISNUMBER(SEARCH("0.5",D79))),IF(G79&gt;0,G79,0.5),IF(AND(ISNUMBER(SEARCH("연차",D79)),NOT(ISNUMBER(SEARCH("부여",D79)))),IF(G79&lt;&gt;"",G79,MAX(1,F79-E79+1)),0))</x:f>
        <x:v>1</x:v>
      </x:c>
      <x:c r="K79" s="58" t="n">
        <x:v>46156</x:v>
      </x:c>
    </x:row>
    <x:row r="80">
      <x:c r="A80" t="str">
        <x:v>420a6c33-1c5e-4e6e-806a-fc5db10e6ca9</x:v>
      </x:c>
      <x:c r="B80" t="str">
        <x:v>박철홍정형외과</x:v>
      </x:c>
      <x:c r="C80" t="str">
        <x:v>김지오</x:v>
      </x:c>
      <x:c r="D80" t="str">
        <x:v>연차(이력)</x:v>
      </x:c>
      <x:c r="E80" s="47" t="n">
        <x:v>46073</x:v>
      </x:c>
      <x:c r="F80" s="47" t="n">
        <x:v>46073</x:v>
      </x:c>
      <x:c r="G80" s="56"/>
      <x:c r="H80" t="str">
        <x:v>승인</x:v>
      </x:c>
      <x:c r="I80" t="str">
        <x:v>연차관리대장 일괄 반영(2026-05-14)</x:v>
      </x:c>
      <x:c r="J80" s="56" t="n">
        <x:f>IF(OR(ISNUMBER(SEARCH("반차",D80)),ISNUMBER(SEARCH("0.5",D80))),IF(G80&gt;0,G80,0.5),IF(AND(ISNUMBER(SEARCH("연차",D80)),NOT(ISNUMBER(SEARCH("부여",D80)))),IF(G80&lt;&gt;"",G80,MAX(1,F80-E80+1)),0))</x:f>
        <x:v>1</x:v>
      </x:c>
      <x:c r="K80" s="58" t="n">
        <x:v>46156</x:v>
      </x:c>
    </x:row>
    <x:row r="81">
      <x:c r="A81" t="str">
        <x:v>420a6c33-1c5e-4e6e-806a-fc5db10e6ca9</x:v>
      </x:c>
      <x:c r="B81" t="str">
        <x:v>박철홍정형외과</x:v>
      </x:c>
      <x:c r="C81" t="str">
        <x:v>김지오</x:v>
      </x:c>
      <x:c r="D81" t="str">
        <x:v>연차(이력)</x:v>
      </x:c>
      <x:c r="E81" s="47" t="n">
        <x:v>46076</x:v>
      </x:c>
      <x:c r="F81" s="47" t="n">
        <x:v>46076</x:v>
      </x:c>
      <x:c r="G81" s="56"/>
      <x:c r="H81" t="str">
        <x:v>승인</x:v>
      </x:c>
      <x:c r="I81" t="str">
        <x:v>연차관리대장 일괄 반영(2026-05-14)</x:v>
      </x:c>
      <x:c r="J81" s="56" t="n">
        <x:f>IF(OR(ISNUMBER(SEARCH("반차",D81)),ISNUMBER(SEARCH("0.5",D81))),IF(G81&gt;0,G81,0.5),IF(AND(ISNUMBER(SEARCH("연차",D81)),NOT(ISNUMBER(SEARCH("부여",D81)))),IF(G81&lt;&gt;"",G81,MAX(1,F81-E81+1)),0))</x:f>
        <x:v>1</x:v>
      </x:c>
      <x:c r="K81" s="58" t="n">
        <x:v>46156</x:v>
      </x:c>
    </x:row>
    <x:row r="82">
      <x:c r="A82" t="str">
        <x:v>420a6c33-1c5e-4e6e-806a-fc5db10e6ca9</x:v>
      </x:c>
      <x:c r="B82" t="str">
        <x:v>박철홍정형외과</x:v>
      </x:c>
      <x:c r="C82" t="str">
        <x:v>김지오</x:v>
      </x:c>
      <x:c r="D82" t="str">
        <x:v>연차</x:v>
      </x:c>
      <x:c r="E82" s="47" t="n">
        <x:v>46116</x:v>
      </x:c>
      <x:c r="F82" s="47" t="n">
        <x:v>46116</x:v>
      </x:c>
      <x:c r="G82" s="56"/>
      <x:c r="H82" t="str">
        <x:v>승인</x:v>
      </x:c>
      <x:c r="I82" t="str">
        <x:v>연차관리대장 일괄 반영(2026-05-14)</x:v>
      </x:c>
      <x:c r="J82" s="56" t="n">
        <x:f>IF(OR(ISNUMBER(SEARCH("반차",D82)),ISNUMBER(SEARCH("0.5",D82))),IF(G82&gt;0,G82,0.5),IF(AND(ISNUMBER(SEARCH("연차",D82)),NOT(ISNUMBER(SEARCH("부여",D82)))),IF(G82&lt;&gt;"",G82,MAX(1,F82-E82+1)),0))</x:f>
        <x:v>1</x:v>
      </x:c>
      <x:c r="K82" s="58" t="n">
        <x:v>46156</x:v>
      </x:c>
    </x:row>
    <x:row r="83">
      <x:c r="A83" t="str">
        <x:v>420a6c33-1c5e-4e6e-806a-fc5db10e6ca9</x:v>
      </x:c>
      <x:c r="B83" t="str">
        <x:v>박철홍정형외과</x:v>
      </x:c>
      <x:c r="C83" t="str">
        <x:v>김지오</x:v>
      </x:c>
      <x:c r="D83" t="str">
        <x:v>연차 (1.0)</x:v>
      </x:c>
      <x:c r="E83" s="47" t="n">
        <x:v>46126</x:v>
      </x:c>
      <x:c r="F83" s="47" t="n">
        <x:v>46126</x:v>
      </x:c>
      <x:c r="G83" s="56"/>
      <x:c r="H83" t="str">
        <x:v>승인</x:v>
      </x:c>
      <x:c r="I83" t="str">
        <x:v>개인사정</x:v>
      </x:c>
      <x:c r="J83" s="56" t="n">
        <x:f>IF(OR(ISNUMBER(SEARCH("반차",D83)),ISNUMBER(SEARCH("0.5",D83))),IF(G83&gt;0,G83,0.5),IF(AND(ISNUMBER(SEARCH("연차",D83)),NOT(ISNUMBER(SEARCH("부여",D83)))),IF(G83&lt;&gt;"",G83,MAX(1,F83-E83+1)),0))</x:f>
        <x:v>1</x:v>
      </x:c>
      <x:c r="K83" s="58" t="n">
        <x:v>46120</x:v>
      </x:c>
    </x:row>
    <x:row r="84">
      <x:c r="A84" t="str">
        <x:v>420a6c33-1c5e-4e6e-806a-fc5db10e6ca9</x:v>
      </x:c>
      <x:c r="B84" t="str">
        <x:v>박철홍정형외과</x:v>
      </x:c>
      <x:c r="C84" t="str">
        <x:v>김지오</x:v>
      </x:c>
      <x:c r="D84" t="str">
        <x:v>연차 (1.0)</x:v>
      </x:c>
      <x:c r="E84" s="47" t="n">
        <x:v>46157</x:v>
      </x:c>
      <x:c r="F84" s="47" t="n">
        <x:v>46157</x:v>
      </x:c>
      <x:c r="G84" s="56"/>
      <x:c r="H84" t="str">
        <x:v>승인</x:v>
      </x:c>
      <x:c r="I84" t="str">
        <x:v>개인사정(이사)으로 연차 신청힙니다</x:v>
      </x:c>
      <x:c r="J84" s="56" t="n">
        <x:f>IF(OR(ISNUMBER(SEARCH("반차",D84)),ISNUMBER(SEARCH("0.5",D84))),IF(G84&gt;0,G84,0.5),IF(AND(ISNUMBER(SEARCH("연차",D84)),NOT(ISNUMBER(SEARCH("부여",D84)))),IF(G84&lt;&gt;"",G84,MAX(1,F84-E84+1)),0))</x:f>
        <x:v>1</x:v>
      </x:c>
      <x:c r="K84" s="58" t="n">
        <x:v>46155</x:v>
      </x:c>
    </x:row>
    <x:row r="85">
      <x:c r="A85" t="str">
        <x:v>420a6c33-1c5e-4e6e-806a-fc5db10e6ca9</x:v>
      </x:c>
      <x:c r="B85" t="str">
        <x:v>박철홍정형외과</x:v>
      </x:c>
      <x:c r="C85" t="str">
        <x:v>김지오</x:v>
      </x:c>
      <x:c r="D85" t="str">
        <x:v>연차 (1.0)</x:v>
      </x:c>
      <x:c r="E85" s="47" t="n">
        <x:v>46191</x:v>
      </x:c>
      <x:c r="F85" s="47" t="n">
        <x:v>46191</x:v>
      </x:c>
      <x:c r="G85" s="56"/>
      <x:c r="H85" t="str">
        <x:v>승인</x:v>
      </x:c>
      <x:c r="I85" t="str">
        <x:v>개인사정(병원)</x:v>
      </x:c>
      <x:c r="J85" s="56" t="n">
        <x:f>IF(OR(ISNUMBER(SEARCH("반차",D85)),ISNUMBER(SEARCH("0.5",D85))),IF(G85&gt;0,G85,0.5),IF(AND(ISNUMBER(SEARCH("연차",D85)),NOT(ISNUMBER(SEARCH("부여",D85)))),IF(G85&lt;&gt;"",G85,MAX(1,F85-E85+1)),0))</x:f>
        <x:v>1</x:v>
      </x:c>
      <x:c r="K85" s="58" t="n">
        <x:v>46174</x:v>
      </x:c>
    </x:row>
    <x:row r="86">
      <x:c r="A86" t="str">
        <x:v>420a6c33-1c5e-4e6e-806a-fc5db10e6ca9</x:v>
      </x:c>
      <x:c r="B86" t="str">
        <x:v>박철홍정형외과</x:v>
      </x:c>
      <x:c r="C86" t="str">
        <x:v>김지오</x:v>
      </x:c>
      <x:c r="D86" t="str">
        <x:v>연차 (1.0)</x:v>
      </x:c>
      <x:c r="E86" s="47" t="n">
        <x:v>46219</x:v>
      </x:c>
      <x:c r="F86" s="47" t="n">
        <x:v>46219</x:v>
      </x:c>
      <x:c r="G86" s="56"/>
      <x:c r="H86" t="str">
        <x:v>승인</x:v>
      </x:c>
      <x:c r="I86" t="str">
        <x:v>개인사정</x:v>
      </x:c>
      <x:c r="J86" s="56" t="n">
        <x:f>IF(OR(ISNUMBER(SEARCH("반차",D86)),ISNUMBER(SEARCH("0.5",D86))),IF(G86&gt;0,G86,0.5),IF(AND(ISNUMBER(SEARCH("연차",D86)),NOT(ISNUMBER(SEARCH("부여",D86)))),IF(G86&lt;&gt;"",G86,MAX(1,F86-E86+1)),0))</x:f>
        <x:v>1</x:v>
      </x:c>
      <x:c r="K86" s="58" t="n">
        <x:v>46195</x:v>
      </x:c>
    </x:row>
    <x:row r="87">
      <x:c r="A87" t="str">
        <x:v>6c465694-92bd-4306-8014-2fd436fd21aa</x:v>
      </x:c>
      <x:c r="B87" t="str">
        <x:v>박철홍정형외과</x:v>
      </x:c>
      <x:c r="C87" t="str">
        <x:v>박소연</x:v>
      </x:c>
      <x:c r="D87" t="str">
        <x:v>연차</x:v>
      </x:c>
      <x:c r="E87" s="47" t="n">
        <x:v>46064</x:v>
      </x:c>
      <x:c r="F87" s="47" t="n">
        <x:v>46064</x:v>
      </x:c>
      <x:c r="G87" s="56"/>
      <x:c r="H87" t="str">
        <x:v>승인</x:v>
      </x:c>
      <x:c r="I87" t="str">
        <x:v>연차관리대장 일괄 반영(2026-05-14)</x:v>
      </x:c>
      <x:c r="J87" s="56" t="n">
        <x:f>IF(OR(ISNUMBER(SEARCH("반차",D87)),ISNUMBER(SEARCH("0.5",D87))),IF(G87&gt;0,G87,0.5),IF(AND(ISNUMBER(SEARCH("연차",D87)),NOT(ISNUMBER(SEARCH("부여",D87)))),IF(G87&lt;&gt;"",G87,MAX(1,F87-E87+1)),0))</x:f>
        <x:v>1</x:v>
      </x:c>
      <x:c r="K87" s="58" t="n">
        <x:v>46156</x:v>
      </x:c>
    </x:row>
    <x:row r="88">
      <x:c r="A88" t="str">
        <x:v>6c465694-92bd-4306-8014-2fd436fd21aa</x:v>
      </x:c>
      <x:c r="B88" t="str">
        <x:v>박철홍정형외과</x:v>
      </x:c>
      <x:c r="C88" t="str">
        <x:v>박소연</x:v>
      </x:c>
      <x:c r="D88" t="str">
        <x:v>연차</x:v>
      </x:c>
      <x:c r="E88" s="47" t="n">
        <x:v>46104</x:v>
      </x:c>
      <x:c r="F88" s="47" t="n">
        <x:v>46104</x:v>
      </x:c>
      <x:c r="G88" s="56"/>
      <x:c r="H88" t="str">
        <x:v>승인</x:v>
      </x:c>
      <x:c r="I88" t="str">
        <x:v>연차관리대장 일괄 반영(2026-05-14)</x:v>
      </x:c>
      <x:c r="J88" s="56" t="n">
        <x:f>IF(OR(ISNUMBER(SEARCH("반차",D88)),ISNUMBER(SEARCH("0.5",D88))),IF(G88&gt;0,G88,0.5),IF(AND(ISNUMBER(SEARCH("연차",D88)),NOT(ISNUMBER(SEARCH("부여",D88)))),IF(G88&lt;&gt;"",G88,MAX(1,F88-E88+1)),0))</x:f>
        <x:v>1</x:v>
      </x:c>
      <x:c r="K88" s="58" t="n">
        <x:v>46156</x:v>
      </x:c>
    </x:row>
    <x:row r="89">
      <x:c r="A89" t="str">
        <x:v>6c465694-92bd-4306-8014-2fd436fd21aa</x:v>
      </x:c>
      <x:c r="B89" t="str">
        <x:v>박철홍정형외과</x:v>
      </x:c>
      <x:c r="C89" t="str">
        <x:v>박소연</x:v>
      </x:c>
      <x:c r="D89" t="str">
        <x:v>연차 (1.0)</x:v>
      </x:c>
      <x:c r="E89" s="47" t="n">
        <x:v>46155</x:v>
      </x:c>
      <x:c r="F89" s="47" t="n">
        <x:v>46155</x:v>
      </x:c>
      <x:c r="G89" s="56"/>
      <x:c r="H89" t="str">
        <x:v>승인</x:v>
      </x:c>
      <x:c r="I89" t="str">
        <x:v>개인사정</x:v>
      </x:c>
      <x:c r="J89" s="56" t="n">
        <x:f>IF(OR(ISNUMBER(SEARCH("반차",D89)),ISNUMBER(SEARCH("0.5",D89))),IF(G89&gt;0,G89,0.5),IF(AND(ISNUMBER(SEARCH("연차",D89)),NOT(ISNUMBER(SEARCH("부여",D89)))),IF(G89&lt;&gt;"",G89,MAX(1,F89-E89+1)),0))</x:f>
        <x:v>1</x:v>
      </x:c>
      <x:c r="K89" s="58" t="n">
        <x:v>46136</x:v>
      </x:c>
    </x:row>
    <x:row r="90">
      <x:c r="A90" t="str">
        <x:v>6c465694-92bd-4306-8014-2fd436fd21aa</x:v>
      </x:c>
      <x:c r="B90" t="str">
        <x:v>박철홍정형외과</x:v>
      </x:c>
      <x:c r="C90" t="str">
        <x:v>박소연</x:v>
      </x:c>
      <x:c r="D90" t="str">
        <x:v>연차 (1.0)</x:v>
      </x:c>
      <x:c r="E90" s="47" t="n">
        <x:v>46192</x:v>
      </x:c>
      <x:c r="F90" s="47" t="n">
        <x:v>46192</x:v>
      </x:c>
      <x:c r="G90" s="56"/>
      <x:c r="H90" t="str">
        <x:v>승인</x:v>
      </x:c>
      <x:c r="I90" t="str">
        <x:v>개인 사유로 6/19일 연차 사용하겠습니다.</x:v>
      </x:c>
      <x:c r="J90" s="56" t="n">
        <x:f>IF(OR(ISNUMBER(SEARCH("반차",D90)),ISNUMBER(SEARCH("0.5",D90))),IF(G90&gt;0,G90,0.5),IF(AND(ISNUMBER(SEARCH("연차",D90)),NOT(ISNUMBER(SEARCH("부여",D90)))),IF(G90&lt;&gt;"",G90,MAX(1,F90-E90+1)),0))</x:f>
        <x:v>1</x:v>
      </x:c>
      <x:c r="K90" s="58" t="n">
        <x:v>46191</x:v>
      </x:c>
    </x:row>
    <x:row r="91">
      <x:c r="A91" t="str">
        <x:v>6c465694-92bd-4306-8014-2fd436fd21aa</x:v>
      </x:c>
      <x:c r="B91" t="str">
        <x:v>박철홍정형외과</x:v>
      </x:c>
      <x:c r="C91" t="str">
        <x:v>박소연</x:v>
      </x:c>
      <x:c r="D91" t="str">
        <x:v>연차 (1.0)</x:v>
      </x:c>
      <x:c r="E91" s="47" t="n">
        <x:v>46195</x:v>
      </x:c>
      <x:c r="F91" s="47" t="n">
        <x:v>46195</x:v>
      </x:c>
      <x:c r="G91" s="56" t="n">
        <x:v>1</x:v>
      </x:c>
      <x:c r="H91" t="str">
        <x:v>승인</x:v>
      </x:c>
      <x:c r="I91" t="str">
        <x:v>개인사정으로 연차신청합니다.</x:v>
      </x:c>
      <x:c r="J91" s="56" t="n">
        <x:f>IF(OR(ISNUMBER(SEARCH("반차",D91)),ISNUMBER(SEARCH("0.5",D91))),IF(G91&gt;0,G91,0.5),IF(AND(ISNUMBER(SEARCH("연차",D91)),NOT(ISNUMBER(SEARCH("부여",D91)))),IF(G91&lt;&gt;"",G91,MAX(1,F91-E91+1)),0))</x:f>
        <x:v>1</x:v>
      </x:c>
      <x:c r="K91" s="58" t="n">
        <x:v>46203</x:v>
      </x:c>
    </x:row>
    <x:row r="92">
      <x:c r="A92" t="str">
        <x:v>fad75292-64f8-453a-b45d-9ea0baa42971</x:v>
      </x:c>
      <x:c r="B92" t="str">
        <x:v>박철홍정형외과</x:v>
      </x:c>
      <x:c r="C92" t="str">
        <x:v>박유진</x:v>
      </x:c>
      <x:c r="D92" t="str">
        <x:v>연차(이력)</x:v>
      </x:c>
      <x:c r="E92" s="47" t="n">
        <x:v>45811</x:v>
      </x:c>
      <x:c r="F92" s="47" t="n">
        <x:v>45811</x:v>
      </x:c>
      <x:c r="G92" s="56"/>
      <x:c r="H92" t="str">
        <x:v>승인</x:v>
      </x:c>
      <x:c r="I92" t="str">
        <x:v>연차관리대장 일괄 반영(2026-05-14)</x:v>
      </x:c>
      <x:c r="J92" s="56" t="n">
        <x:f>IF(OR(ISNUMBER(SEARCH("반차",D92)),ISNUMBER(SEARCH("0.5",D92))),IF(G92&gt;0,G92,0.5),IF(AND(ISNUMBER(SEARCH("연차",D92)),NOT(ISNUMBER(SEARCH("부여",D92)))),IF(G92&lt;&gt;"",G92,MAX(1,F92-E92+1)),0))</x:f>
        <x:v>1</x:v>
      </x:c>
      <x:c r="K92" s="58" t="n">
        <x:v>46156</x:v>
      </x:c>
    </x:row>
    <x:row r="93">
      <x:c r="A93" t="str">
        <x:v>fad75292-64f8-453a-b45d-9ea0baa42971</x:v>
      </x:c>
      <x:c r="B93" t="str">
        <x:v>박철홍정형외과</x:v>
      </x:c>
      <x:c r="C93" t="str">
        <x:v>박유진</x:v>
      </x:c>
      <x:c r="D93" t="str">
        <x:v>연차(이력)</x:v>
      </x:c>
      <x:c r="E93" s="47" t="n">
        <x:v>45929</x:v>
      </x:c>
      <x:c r="F93" s="47" t="n">
        <x:v>45929</x:v>
      </x:c>
      <x:c r="G93" s="56"/>
      <x:c r="H93" t="str">
        <x:v>승인</x:v>
      </x:c>
      <x:c r="I93" t="str">
        <x:v>연차관리대장 일괄 반영(2026-05-14)</x:v>
      </x:c>
      <x:c r="J93" s="56" t="n">
        <x:f>IF(OR(ISNUMBER(SEARCH("반차",D93)),ISNUMBER(SEARCH("0.5",D93))),IF(G93&gt;0,G93,0.5),IF(AND(ISNUMBER(SEARCH("연차",D93)),NOT(ISNUMBER(SEARCH("부여",D93)))),IF(G93&lt;&gt;"",G93,MAX(1,F93-E93+1)),0))</x:f>
        <x:v>1</x:v>
      </x:c>
      <x:c r="K93" s="58" t="n">
        <x:v>46156</x:v>
      </x:c>
    </x:row>
    <x:row r="94">
      <x:c r="A94" t="str">
        <x:v>fad75292-64f8-453a-b45d-9ea0baa42971</x:v>
      </x:c>
      <x:c r="B94" t="str">
        <x:v>박철홍정형외과</x:v>
      </x:c>
      <x:c r="C94" t="str">
        <x:v>박유진</x:v>
      </x:c>
      <x:c r="D94" t="str">
        <x:v>연차(이력)</x:v>
      </x:c>
      <x:c r="E94" s="47" t="n">
        <x:v>45950</x:v>
      </x:c>
      <x:c r="F94" s="47" t="n">
        <x:v>45950</x:v>
      </x:c>
      <x:c r="G94" s="56"/>
      <x:c r="H94" t="str">
        <x:v>승인</x:v>
      </x:c>
      <x:c r="I94" t="str">
        <x:v>연차관리대장 일괄 반영(2026-05-14)</x:v>
      </x:c>
      <x:c r="J94" s="56" t="n">
        <x:f>IF(OR(ISNUMBER(SEARCH("반차",D94)),ISNUMBER(SEARCH("0.5",D94))),IF(G94&gt;0,G94,0.5),IF(AND(ISNUMBER(SEARCH("연차",D94)),NOT(ISNUMBER(SEARCH("부여",D94)))),IF(G94&lt;&gt;"",G94,MAX(1,F94-E94+1)),0))</x:f>
        <x:v>1</x:v>
      </x:c>
      <x:c r="K94" s="58" t="n">
        <x:v>46156</x:v>
      </x:c>
    </x:row>
    <x:row r="95">
      <x:c r="A95" t="str">
        <x:v>fad75292-64f8-453a-b45d-9ea0baa42971</x:v>
      </x:c>
      <x:c r="B95" t="str">
        <x:v>박철홍정형외과</x:v>
      </x:c>
      <x:c r="C95" t="str">
        <x:v>박유진</x:v>
      </x:c>
      <x:c r="D95" t="str">
        <x:v>연차(이력)</x:v>
      </x:c>
      <x:c r="E95" s="47" t="n">
        <x:v>45951</x:v>
      </x:c>
      <x:c r="F95" s="47" t="n">
        <x:v>45951</x:v>
      </x:c>
      <x:c r="G95" s="56"/>
      <x:c r="H95" t="str">
        <x:v>승인</x:v>
      </x:c>
      <x:c r="I95" t="str">
        <x:v>연차관리대장 일괄 반영(2026-05-14)</x:v>
      </x:c>
      <x:c r="J95" s="56" t="n">
        <x:f>IF(OR(ISNUMBER(SEARCH("반차",D95)),ISNUMBER(SEARCH("0.5",D95))),IF(G95&gt;0,G95,0.5),IF(AND(ISNUMBER(SEARCH("연차",D95)),NOT(ISNUMBER(SEARCH("부여",D95)))),IF(G95&lt;&gt;"",G95,MAX(1,F95-E95+1)),0))</x:f>
        <x:v>1</x:v>
      </x:c>
      <x:c r="K95" s="58" t="n">
        <x:v>46156</x:v>
      </x:c>
    </x:row>
    <x:row r="96">
      <x:c r="A96" t="str">
        <x:v>fad75292-64f8-453a-b45d-9ea0baa42971</x:v>
      </x:c>
      <x:c r="B96" t="str">
        <x:v>박철홍정형외과</x:v>
      </x:c>
      <x:c r="C96" t="str">
        <x:v>박유진</x:v>
      </x:c>
      <x:c r="D96" t="str">
        <x:v>연차(이력)</x:v>
      </x:c>
      <x:c r="E96" s="47" t="n">
        <x:v>45999</x:v>
      </x:c>
      <x:c r="F96" s="47" t="n">
        <x:v>45999</x:v>
      </x:c>
      <x:c r="G96" s="56"/>
      <x:c r="H96" t="str">
        <x:v>승인</x:v>
      </x:c>
      <x:c r="I96" t="str">
        <x:v>연차관리대장 일괄 반영(2026-05-14)</x:v>
      </x:c>
      <x:c r="J96" s="56" t="n">
        <x:f>IF(OR(ISNUMBER(SEARCH("반차",D96)),ISNUMBER(SEARCH("0.5",D96))),IF(G96&gt;0,G96,0.5),IF(AND(ISNUMBER(SEARCH("연차",D96)),NOT(ISNUMBER(SEARCH("부여",D96)))),IF(G96&lt;&gt;"",G96,MAX(1,F96-E96+1)),0))</x:f>
        <x:v>1</x:v>
      </x:c>
      <x:c r="K96" s="58" t="n">
        <x:v>46156</x:v>
      </x:c>
    </x:row>
    <x:row r="97">
      <x:c r="A97" t="str">
        <x:v>fad75292-64f8-453a-b45d-9ea0baa42971</x:v>
      </x:c>
      <x:c r="B97" t="str">
        <x:v>박철홍정형외과</x:v>
      </x:c>
      <x:c r="C97" t="str">
        <x:v>박유진</x:v>
      </x:c>
      <x:c r="D97" t="str">
        <x:v>연차(이력)</x:v>
      </x:c>
      <x:c r="E97" s="47" t="n">
        <x:v>46000</x:v>
      </x:c>
      <x:c r="F97" s="47" t="n">
        <x:v>46000</x:v>
      </x:c>
      <x:c r="G97" s="56"/>
      <x:c r="H97" t="str">
        <x:v>승인</x:v>
      </x:c>
      <x:c r="I97" t="str">
        <x:v>연차관리대장 일괄 반영(2026-05-14)</x:v>
      </x:c>
      <x:c r="J97" s="56" t="n">
        <x:f>IF(OR(ISNUMBER(SEARCH("반차",D97)),ISNUMBER(SEARCH("0.5",D97))),IF(G97&gt;0,G97,0.5),IF(AND(ISNUMBER(SEARCH("연차",D97)),NOT(ISNUMBER(SEARCH("부여",D97)))),IF(G97&lt;&gt;"",G97,MAX(1,F97-E97+1)),0))</x:f>
        <x:v>1</x:v>
      </x:c>
      <x:c r="K97" s="58" t="n">
        <x:v>46156</x:v>
      </x:c>
    </x:row>
    <x:row r="98">
      <x:c r="A98" t="str">
        <x:v>fad75292-64f8-453a-b45d-9ea0baa42971</x:v>
      </x:c>
      <x:c r="B98" t="str">
        <x:v>박철홍정형외과</x:v>
      </x:c>
      <x:c r="C98" t="str">
        <x:v>박유진</x:v>
      </x:c>
      <x:c r="D98" t="str">
        <x:v>연차(이력)</x:v>
      </x:c>
      <x:c r="E98" s="47" t="n">
        <x:v>46072</x:v>
      </x:c>
      <x:c r="F98" s="47" t="n">
        <x:v>46072</x:v>
      </x:c>
      <x:c r="G98" s="56"/>
      <x:c r="H98" t="str">
        <x:v>승인</x:v>
      </x:c>
      <x:c r="I98" t="str">
        <x:v>연차관리대장 일괄 반영(2026-05-14)</x:v>
      </x:c>
      <x:c r="J98" s="56" t="n">
        <x:f>IF(OR(ISNUMBER(SEARCH("반차",D98)),ISNUMBER(SEARCH("0.5",D98))),IF(G98&gt;0,G98,0.5),IF(AND(ISNUMBER(SEARCH("연차",D98)),NOT(ISNUMBER(SEARCH("부여",D98)))),IF(G98&lt;&gt;"",G98,MAX(1,F98-E98+1)),0))</x:f>
        <x:v>1</x:v>
      </x:c>
      <x:c r="K98" s="58" t="n">
        <x:v>46156</x:v>
      </x:c>
    </x:row>
    <x:row r="99">
      <x:c r="A99" t="str">
        <x:v>fad75292-64f8-453a-b45d-9ea0baa42971</x:v>
      </x:c>
      <x:c r="B99" t="str">
        <x:v>박철홍정형외과</x:v>
      </x:c>
      <x:c r="C99" t="str">
        <x:v>박유진</x:v>
      </x:c>
      <x:c r="D99" t="str">
        <x:v>연차(이력)</x:v>
      </x:c>
      <x:c r="E99" s="47" t="n">
        <x:v>46091</x:v>
      </x:c>
      <x:c r="F99" s="47" t="n">
        <x:v>46091</x:v>
      </x:c>
      <x:c r="G99" s="56"/>
      <x:c r="H99" t="str">
        <x:v>승인</x:v>
      </x:c>
      <x:c r="I99" t="str">
        <x:v>연차관리대장 일괄 반영(2026-05-14)</x:v>
      </x:c>
      <x:c r="J99" s="56" t="n">
        <x:f>IF(OR(ISNUMBER(SEARCH("반차",D99)),ISNUMBER(SEARCH("0.5",D99))),IF(G99&gt;0,G99,0.5),IF(AND(ISNUMBER(SEARCH("연차",D99)),NOT(ISNUMBER(SEARCH("부여",D99)))),IF(G99&lt;&gt;"",G99,MAX(1,F99-E99+1)),0))</x:f>
        <x:v>1</x:v>
      </x:c>
      <x:c r="K99" s="58" t="n">
        <x:v>46156</x:v>
      </x:c>
    </x:row>
    <x:row r="100">
      <x:c r="A100" t="str">
        <x:v>fad75292-64f8-453a-b45d-9ea0baa42971</x:v>
      </x:c>
      <x:c r="B100" t="str">
        <x:v>박철홍정형외과</x:v>
      </x:c>
      <x:c r="C100" t="str">
        <x:v>박유진</x:v>
      </x:c>
      <x:c r="D100" t="str">
        <x:v>연차(이력)</x:v>
      </x:c>
      <x:c r="E100" s="47" t="n">
        <x:v>46112</x:v>
      </x:c>
      <x:c r="F100" s="47" t="n">
        <x:v>46112</x:v>
      </x:c>
      <x:c r="G100" s="56"/>
      <x:c r="H100" t="str">
        <x:v>승인</x:v>
      </x:c>
      <x:c r="I100" t="str">
        <x:v>연차관리대장 일괄 반영(2026-05-14)</x:v>
      </x:c>
      <x:c r="J100" s="56" t="n">
        <x:f>IF(OR(ISNUMBER(SEARCH("반차",D100)),ISNUMBER(SEARCH("0.5",D100))),IF(G100&gt;0,G100,0.5),IF(AND(ISNUMBER(SEARCH("연차",D100)),NOT(ISNUMBER(SEARCH("부여",D100)))),IF(G100&lt;&gt;"",G100,MAX(1,F100-E100+1)),0))</x:f>
        <x:v>1</x:v>
      </x:c>
      <x:c r="K100" s="58" t="n">
        <x:v>46156</x:v>
      </x:c>
    </x:row>
    <x:row r="101">
      <x:c r="A101" t="str">
        <x:v>fad75292-64f8-453a-b45d-9ea0baa42971</x:v>
      </x:c>
      <x:c r="B101" t="str">
        <x:v>박철홍정형외과</x:v>
      </x:c>
      <x:c r="C101" t="str">
        <x:v>박유진</x:v>
      </x:c>
      <x:c r="D101" t="str">
        <x:v>연차 (1.0)</x:v>
      </x:c>
      <x:c r="E101" s="47" t="n">
        <x:v>46202</x:v>
      </x:c>
      <x:c r="F101" s="47" t="n">
        <x:v>46202</x:v>
      </x:c>
      <x:c r="G101" s="56"/>
      <x:c r="H101" t="str">
        <x:v>승인</x:v>
      </x:c>
      <x:c r="I101" t="str">
        <x:v>개인사정으로 인한 연차 사용 예정입니다.
영양팀 - 박유진</x:v>
      </x:c>
      <x:c r="J101" s="56" t="n">
        <x:f>IF(OR(ISNUMBER(SEARCH("반차",D101)),ISNUMBER(SEARCH("0.5",D101))),IF(G101&gt;0,G101,0.5),IF(AND(ISNUMBER(SEARCH("연차",D101)),NOT(ISNUMBER(SEARCH("부여",D101)))),IF(G101&lt;&gt;"",G101,MAX(1,F101-E101+1)),0))</x:f>
        <x:v>1</x:v>
      </x:c>
      <x:c r="K101" s="58" t="n">
        <x:v>46197</x:v>
      </x:c>
    </x:row>
    <x:row r="102">
      <x:c r="A102" t="str">
        <x:v>fad75292-64f8-453a-b45d-9ea0baa42971</x:v>
      </x:c>
      <x:c r="B102" t="str">
        <x:v>박철홍정형외과</x:v>
      </x:c>
      <x:c r="C102" t="str">
        <x:v>박유진</x:v>
      </x:c>
      <x:c r="D102" t="str">
        <x:v>연차 (1.0)</x:v>
      </x:c>
      <x:c r="E102" s="47" t="n">
        <x:v>46216</x:v>
      </x:c>
      <x:c r="F102" s="47" t="n">
        <x:v>46216</x:v>
      </x:c>
      <x:c r="G102" s="56" t="n">
        <x:v>1</x:v>
      </x:c>
      <x:c r="H102" t="str">
        <x:v>승인</x:v>
      </x:c>
      <x:c r="I102" t="str">
        <x:v>개인 사정으로 인한 연차 사용 예정입니다.
영양팀: 박유진</x:v>
      </x:c>
      <x:c r="J102" s="56" t="n">
        <x:f>IF(OR(ISNUMBER(SEARCH("반차",D102)),ISNUMBER(SEARCH("0.5",D102))),IF(G102&gt;0,G102,0.5),IF(AND(ISNUMBER(SEARCH("연차",D102)),NOT(ISNUMBER(SEARCH("부여",D102)))),IF(G102&lt;&gt;"",G102,MAX(1,F102-E102+1)),0))</x:f>
        <x:v>1</x:v>
      </x:c>
      <x:c r="K102" s="58" t="n">
        <x:v>46210</x:v>
      </x:c>
    </x:row>
    <x:row r="103">
      <x:c r="A103" t="str">
        <x:v>fad75292-64f8-453a-b45d-9ea0baa42971</x:v>
      </x:c>
      <x:c r="B103" t="str">
        <x:v>박철홍정형외과</x:v>
      </x:c>
      <x:c r="C103" t="str">
        <x:v>박유진</x:v>
      </x:c>
      <x:c r="D103" t="str">
        <x:v>연차</x:v>
      </x:c>
      <x:c r="E103" s="47" t="n">
        <x:v>46234</x:v>
      </x:c>
      <x:c r="F103" s="47" t="n">
        <x:v>46234</x:v>
      </x:c>
      <x:c r="G103" s="56" t="n">
        <x:v>1</x:v>
      </x:c>
      <x:c r="H103" t="str">
        <x:v>승인</x:v>
      </x:c>
      <x:c r="I103" t="str">
        <x:v>개인 사정으로 인한 연차 사용 예정입니다.</x:v>
      </x:c>
      <x:c r="J103" s="56" t="n">
        <x:f>IF(OR(ISNUMBER(SEARCH("반차",D103)),ISNUMBER(SEARCH("0.5",D103))),IF(G103&gt;0,G103,0.5),IF(AND(ISNUMBER(SEARCH("연차",D103)),NOT(ISNUMBER(SEARCH("부여",D103)))),IF(G103&lt;&gt;"",G103,MAX(1,F103-E103+1)),0))</x:f>
        <x:v>1</x:v>
      </x:c>
      <x:c r="K103" s="58" t="n">
        <x:v>46225</x:v>
      </x:c>
    </x:row>
    <x:row r="104">
      <x:c r="A104" t="str">
        <x:v>0951c488-78e2-4dad-8735-6415b2929e53</x:v>
      </x:c>
      <x:c r="B104" t="str">
        <x:v>박철홍정형외과</x:v>
      </x:c>
      <x:c r="C104" t="str">
        <x:v>박은안</x:v>
      </x:c>
      <x:c r="D104" t="str">
        <x:v>연차(과거사용)</x:v>
      </x:c>
      <x:c r="E104" s="47" t="n">
        <x:v>46192</x:v>
      </x:c>
      <x:c r="F104" s="47" t="n">
        <x:v>46201</x:v>
      </x:c>
      <x:c r="G104" s="56"/>
      <x:c r="H104" t="str">
        <x:v>승인</x:v>
      </x:c>
      <x:c r="I104" t="str">
        <x:v>오류 정정.</x:v>
      </x:c>
      <x:c r="J104" s="56" t="n">
        <x:f>IF(OR(ISNUMBER(SEARCH("반차",D104)),ISNUMBER(SEARCH("0.5",D104))),IF(G104&gt;0,G104,0.5),IF(AND(ISNUMBER(SEARCH("연차",D104)),NOT(ISNUMBER(SEARCH("부여",D104)))),IF(G104&lt;&gt;"",G104,MAX(1,F104-E104+1)),0))</x:f>
        <x:v>10</x:v>
      </x:c>
      <x:c r="K104" s="58" t="n">
        <x:v>46199</x:v>
      </x:c>
    </x:row>
    <x:row r="105">
      <x:c r="A105" t="str">
        <x:v>21cefd98-f172-4fc3-8de8-ba74998686cc</x:v>
      </x:c>
      <x:c r="B105" t="str">
        <x:v>박철홍정형외과</x:v>
      </x:c>
      <x:c r="C105" t="str">
        <x:v>박철홍</x:v>
      </x:c>
      <x:c r="D105" t="str">
        <x:v>연차(과거사용)</x:v>
      </x:c>
      <x:c r="E105" s="47" t="n">
        <x:v>46174</x:v>
      </x:c>
      <x:c r="F105" s="47" t="n">
        <x:v>46189</x:v>
      </x:c>
      <x:c r="G105" s="56"/>
      <x:c r="H105" t="str">
        <x:v>승인</x:v>
      </x:c>
      <x:c r="I105" t="str">
        <x:v>교수님 연차 X</x:v>
      </x:c>
      <x:c r="J105" s="56" t="n">
        <x:f>IF(OR(ISNUMBER(SEARCH("반차",D105)),ISNUMBER(SEARCH("0.5",D105))),IF(G105&gt;0,G105,0.5),IF(AND(ISNUMBER(SEARCH("연차",D105)),NOT(ISNUMBER(SEARCH("부여",D105)))),IF(G105&lt;&gt;"",G105,MAX(1,F105-E105+1)),0))</x:f>
        <x:v>16</x:v>
      </x:c>
      <x:c r="K105" s="58" t="n">
        <x:v>46199</x:v>
      </x:c>
    </x:row>
    <x:row r="106">
      <x:c r="A106" t="str">
        <x:v>f21833c4-76a3-4a27-b26f-589053dd673b</x:v>
      </x:c>
      <x:c r="B106" t="str">
        <x:v>박철홍정형외과</x:v>
      </x:c>
      <x:c r="C106" t="str">
        <x:v>박하연</x:v>
      </x:c>
      <x:c r="D106" t="str">
        <x:v>연차(부여)</x:v>
      </x:c>
      <x:c r="E106" s="47" t="n">
        <x:v>46174</x:v>
      </x:c>
      <x:c r="F106" s="47" t="n">
        <x:v>46174</x:v>
      </x:c>
      <x:c r="G106" s="56"/>
      <x:c r="H106" t="str">
        <x:v>승인</x:v>
      </x:c>
      <x:c r="I106" t="str">
        <x:v>대체 휴무 지급 누락.</x:v>
      </x:c>
      <x:c r="J106" s="56" t="n">
        <x:f>IF(OR(ISNUMBER(SEARCH("반차",D106)),ISNUMBER(SEARCH("0.5",D106))),IF(G106&gt;0,G106,0.5),IF(AND(ISNUMBER(SEARCH("연차",D106)),NOT(ISNUMBER(SEARCH("부여",D106)))),IF(G106&lt;&gt;"",G106,MAX(1,F106-E106+1)),0))</x:f>
        <x:v>0</x:v>
      </x:c>
      <x:c r="K106" s="58" t="n">
        <x:v>46174</x:v>
      </x:c>
    </x:row>
    <x:row r="107">
      <x:c r="A107" t="str">
        <x:v>f21833c4-76a3-4a27-b26f-589053dd673b</x:v>
      </x:c>
      <x:c r="B107" t="str">
        <x:v>박철홍정형외과</x:v>
      </x:c>
      <x:c r="C107" t="str">
        <x:v>박하연</x:v>
      </x:c>
      <x:c r="D107" t="str">
        <x:v>연차(과거사용)</x:v>
      </x:c>
      <x:c r="E107" s="47" t="n">
        <x:v>46174</x:v>
      </x:c>
      <x:c r="F107" s="47" t="n">
        <x:v>46181</x:v>
      </x:c>
      <x:c r="G107" s="56"/>
      <x:c r="H107" t="str">
        <x:v>승인</x:v>
      </x:c>
      <x:c r="I107" t="str">
        <x:v>오류. test</x:v>
      </x:c>
      <x:c r="J107" s="56" t="n">
        <x:f>IF(OR(ISNUMBER(SEARCH("반차",D107)),ISNUMBER(SEARCH("0.5",D107))),IF(G107&gt;0,G107,0.5),IF(AND(ISNUMBER(SEARCH("연차",D107)),NOT(ISNUMBER(SEARCH("부여",D107)))),IF(G107&lt;&gt;"",G107,MAX(1,F107-E107+1)),0))</x:f>
        <x:v>8</x:v>
      </x:c>
      <x:c r="K107" s="58" t="n">
        <x:v>46174</x:v>
      </x:c>
    </x:row>
    <x:row r="108">
      <x:c r="A108" t="str">
        <x:v>f21833c4-76a3-4a27-b26f-589053dd673b</x:v>
      </x:c>
      <x:c r="B108" t="str">
        <x:v>박철홍정형외과</x:v>
      </x:c>
      <x:c r="C108" t="str">
        <x:v>박하연</x:v>
      </x:c>
      <x:c r="D108" t="str">
        <x:v>연차 (1.0)</x:v>
      </x:c>
      <x:c r="E108" s="47" t="n">
        <x:v>46188</x:v>
      </x:c>
      <x:c r="F108" s="47" t="n">
        <x:v>46188</x:v>
      </x:c>
      <x:c r="G108" s="56"/>
      <x:c r="H108" t="str">
        <x:v>승인</x:v>
      </x:c>
      <x:c r="I108" t="str">
        <x:v>개인사정으로 연차 신청드립니다.</x:v>
      </x:c>
      <x:c r="J108" s="56" t="n">
        <x:f>IF(OR(ISNUMBER(SEARCH("반차",D108)),ISNUMBER(SEARCH("0.5",D108))),IF(G108&gt;0,G108,0.5),IF(AND(ISNUMBER(SEARCH("연차",D108)),NOT(ISNUMBER(SEARCH("부여",D108)))),IF(G108&lt;&gt;"",G108,MAX(1,F108-E108+1)),0))</x:f>
        <x:v>1</x:v>
      </x:c>
      <x:c r="K108" s="58" t="n">
        <x:v>46158</x:v>
      </x:c>
    </x:row>
    <x:row r="109">
      <x:c r="A109" t="str">
        <x:v>f21833c4-76a3-4a27-b26f-589053dd673b</x:v>
      </x:c>
      <x:c r="B109" t="str">
        <x:v>박철홍정형외과</x:v>
      </x:c>
      <x:c r="C109" t="str">
        <x:v>박하연</x:v>
      </x:c>
      <x:c r="D109" t="str">
        <x:v>연차 (1.0)</x:v>
      </x:c>
      <x:c r="E109" s="47" t="n">
        <x:v>46193</x:v>
      </x:c>
      <x:c r="F109" s="47" t="n">
        <x:v>46193</x:v>
      </x:c>
      <x:c r="G109" s="56"/>
      <x:c r="H109" t="str">
        <x:v>승인</x:v>
      </x:c>
      <x:c r="I109" t="str">
        <x:v>개인사정으로인해 연차신청드립니다.</x:v>
      </x:c>
      <x:c r="J109" s="56" t="n">
        <x:f>IF(OR(ISNUMBER(SEARCH("반차",D109)),ISNUMBER(SEARCH("0.5",D109))),IF(G109&gt;0,G109,0.5),IF(AND(ISNUMBER(SEARCH("연차",D109)),NOT(ISNUMBER(SEARCH("부여",D109)))),IF(G109&lt;&gt;"",G109,MAX(1,F109-E109+1)),0))</x:f>
        <x:v>1</x:v>
      </x:c>
      <x:c r="K109" s="58" t="n">
        <x:v>46161</x:v>
      </x:c>
    </x:row>
    <x:row r="110">
      <x:c r="A110" t="str">
        <x:v>f21833c4-76a3-4a27-b26f-589053dd673b</x:v>
      </x:c>
      <x:c r="B110" t="str">
        <x:v>박철홍정형외과</x:v>
      </x:c>
      <x:c r="C110" t="str">
        <x:v>박하연</x:v>
      </x:c>
      <x:c r="D110" t="str">
        <x:v>연차 (1.0)</x:v>
      </x:c>
      <x:c r="E110" s="47" t="n">
        <x:v>46193</x:v>
      </x:c>
      <x:c r="F110" s="47" t="n">
        <x:v>46193</x:v>
      </x:c>
      <x:c r="G110" s="56"/>
      <x:c r="H110" t="str">
        <x:v>승인</x:v>
      </x:c>
      <x:c r="I110" t="str">
        <x:v>개인사정으로인해 연차신청드립니다.</x:v>
      </x:c>
      <x:c r="J110" s="56" t="n">
        <x:f>IF(OR(ISNUMBER(SEARCH("반차",D110)),ISNUMBER(SEARCH("0.5",D110))),IF(G110&gt;0,G110,0.5),IF(AND(ISNUMBER(SEARCH("연차",D110)),NOT(ISNUMBER(SEARCH("부여",D110)))),IF(G110&lt;&gt;"",G110,MAX(1,F110-E110+1)),0))</x:f>
        <x:v>1</x:v>
      </x:c>
      <x:c r="K110" s="58" t="n">
        <x:v>46161</x:v>
      </x:c>
    </x:row>
    <x:row r="111">
      <x:c r="A111" t="str">
        <x:v>f21833c4-76a3-4a27-b26f-589053dd673b</x:v>
      </x:c>
      <x:c r="B111" t="str">
        <x:v>박철홍정형외과</x:v>
      </x:c>
      <x:c r="C111" t="str">
        <x:v>박하연</x:v>
      </x:c>
      <x:c r="D111" t="str">
        <x:v>연차(부여)</x:v>
      </x:c>
      <x:c r="E111" s="47" t="n">
        <x:v>46199</x:v>
      </x:c>
      <x:c r="F111" s="47" t="n">
        <x:v>46199</x:v>
      </x:c>
      <x:c r="G111" s="56"/>
      <x:c r="H111" t="str">
        <x:v>승인</x:v>
      </x:c>
      <x:c r="I111" t="str">
        <x:v>오류 정정</x:v>
      </x:c>
      <x:c r="J111" s="56" t="n">
        <x:f>IF(OR(ISNUMBER(SEARCH("반차",D111)),ISNUMBER(SEARCH("0.5",D111))),IF(G111&gt;0,G111,0.5),IF(AND(ISNUMBER(SEARCH("연차",D111)),NOT(ISNUMBER(SEARCH("부여",D111)))),IF(G111&lt;&gt;"",G111,MAX(1,F111-E111+1)),0))</x:f>
        <x:v>0</x:v>
      </x:c>
      <x:c r="K111" s="58" t="n">
        <x:v>46199</x:v>
      </x:c>
    </x:row>
    <x:row r="112">
      <x:c r="A112" t="str">
        <x:v>f21833c4-76a3-4a27-b26f-589053dd673b</x:v>
      </x:c>
      <x:c r="B112" t="str">
        <x:v>박철홍정형외과</x:v>
      </x:c>
      <x:c r="C112" t="str">
        <x:v>박하연</x:v>
      </x:c>
      <x:c r="D112" t="str">
        <x:v>연차 (1.0)</x:v>
      </x:c>
      <x:c r="E112" s="47" t="n">
        <x:v>46216</x:v>
      </x:c>
      <x:c r="F112" s="47" t="n">
        <x:v>46216</x:v>
      </x:c>
      <x:c r="G112" s="56" t="n">
        <x:v>1</x:v>
      </x:c>
      <x:c r="H112" t="str">
        <x:v>승인</x:v>
      </x:c>
      <x:c r="I112" t="str">
        <x:v>결재상신 올립니다.</x:v>
      </x:c>
      <x:c r="J112" s="56" t="n">
        <x:f>IF(OR(ISNUMBER(SEARCH("반차",D112)),ISNUMBER(SEARCH("0.5",D112))),IF(G112&gt;0,G112,0.5),IF(AND(ISNUMBER(SEARCH("연차",D112)),NOT(ISNUMBER(SEARCH("부여",D112)))),IF(G112&lt;&gt;"",G112,MAX(1,F112-E112+1)),0))</x:f>
        <x:v>1</x:v>
      </x:c>
      <x:c r="K112" s="58" t="n">
        <x:v>46202</x:v>
      </x:c>
    </x:row>
    <x:row r="113">
      <x:c r="A113" t="str">
        <x:v>f21833c4-76a3-4a27-b26f-589053dd673b</x:v>
      </x:c>
      <x:c r="B113" t="str">
        <x:v>박철홍정형외과</x:v>
      </x:c>
      <x:c r="C113" t="str">
        <x:v>박하연</x:v>
      </x:c>
      <x:c r="D113" t="str">
        <x:v>연차</x:v>
      </x:c>
      <x:c r="E113" s="47" t="n">
        <x:v>46244</x:v>
      </x:c>
      <x:c r="F113" s="47" t="n">
        <x:v>46245</x:v>
      </x:c>
      <x:c r="G113" s="56" t="n">
        <x:v>2</x:v>
      </x:c>
      <x:c r="H113" t="str">
        <x:v>승인</x:v>
      </x:c>
      <x:c r="I113" t="str">
        <x:v>개인사정으로 인해 연차사용 결재 올립니다.</x:v>
      </x:c>
      <x:c r="J113" s="56" t="n">
        <x:f>IF(OR(ISNUMBER(SEARCH("반차",D113)),ISNUMBER(SEARCH("0.5",D113))),IF(G113&gt;0,G113,0.5),IF(AND(ISNUMBER(SEARCH("연차",D113)),NOT(ISNUMBER(SEARCH("부여",D113)))),IF(G113&lt;&gt;"",G113,MAX(1,F113-E113+1)),0))</x:f>
        <x:v>2</x:v>
      </x:c>
      <x:c r="K113" s="58" t="n">
        <x:v>46226</x:v>
      </x:c>
    </x:row>
    <x:row r="114">
      <x:c r="A114" t="str">
        <x:v>9d2818ef-5201-4674-8023-a504b8ad70d5</x:v>
      </x:c>
      <x:c r="B114" t="str">
        <x:v>박철홍정형외과</x:v>
      </x:c>
      <x:c r="C114" t="str">
        <x:v>방영란</x:v>
      </x:c>
      <x:c r="D114" t="str">
        <x:v>연차(과거사용)</x:v>
      </x:c>
      <x:c r="E114" s="47" t="n">
        <x:v>46174</x:v>
      </x:c>
      <x:c r="F114" s="47" t="n">
        <x:v>46188</x:v>
      </x:c>
      <x:c r="G114" s="56"/>
      <x:c r="H114" t="str">
        <x:v>승인</x:v>
      </x:c>
      <x:c r="I114" t="str"/>
      <x:c r="J114" s="56" t="n">
        <x:f>IF(OR(ISNUMBER(SEARCH("반차",D114)),ISNUMBER(SEARCH("0.5",D114))),IF(G114&gt;0,G114,0.5),IF(AND(ISNUMBER(SEARCH("연차",D114)),NOT(ISNUMBER(SEARCH("부여",D114)))),IF(G114&lt;&gt;"",G114,MAX(1,F114-E114+1)),0))</x:f>
        <x:v>15</x:v>
      </x:c>
      <x:c r="K114" s="58" t="n">
        <x:v>46199</x:v>
      </x:c>
    </x:row>
    <x:row r="115">
      <x:c r="A115" t="str">
        <x:v>0c565a99-1a11-4b29-b349-131b3b8a38c5</x:v>
      </x:c>
      <x:c r="B115" t="str">
        <x:v>박철홍정형외과</x:v>
      </x:c>
      <x:c r="C115" t="str">
        <x:v>송소현</x:v>
      </x:c>
      <x:c r="D115" t="str">
        <x:v>연차(이력)</x:v>
      </x:c>
      <x:c r="E115" s="47" t="n">
        <x:v>45744</x:v>
      </x:c>
      <x:c r="F115" s="47" t="n">
        <x:v>45744</x:v>
      </x:c>
      <x:c r="G115" s="56"/>
      <x:c r="H115" t="str">
        <x:v>승인</x:v>
      </x:c>
      <x:c r="I115" t="str">
        <x:v>연차관리대장 일괄 반영(2026-05-14)</x:v>
      </x:c>
      <x:c r="J115" s="56" t="n">
        <x:f>IF(OR(ISNUMBER(SEARCH("반차",D115)),ISNUMBER(SEARCH("0.5",D115))),IF(G115&gt;0,G115,0.5),IF(AND(ISNUMBER(SEARCH("연차",D115)),NOT(ISNUMBER(SEARCH("부여",D115)))),IF(G115&lt;&gt;"",G115,MAX(1,F115-E115+1)),0))</x:f>
        <x:v>1</x:v>
      </x:c>
      <x:c r="K115" s="58" t="n">
        <x:v>46156</x:v>
      </x:c>
    </x:row>
    <x:row r="116">
      <x:c r="A116" t="str">
        <x:v>0c565a99-1a11-4b29-b349-131b3b8a38c5</x:v>
      </x:c>
      <x:c r="B116" t="str">
        <x:v>박철홍정형외과</x:v>
      </x:c>
      <x:c r="C116" t="str">
        <x:v>송소현</x:v>
      </x:c>
      <x:c r="D116" t="str">
        <x:v>연차(이력)</x:v>
      </x:c>
      <x:c r="E116" s="47" t="n">
        <x:v>45765</x:v>
      </x:c>
      <x:c r="F116" s="47" t="n">
        <x:v>45765</x:v>
      </x:c>
      <x:c r="G116" s="56"/>
      <x:c r="H116" t="str">
        <x:v>승인</x:v>
      </x:c>
      <x:c r="I116" t="str">
        <x:v>연차관리대장 일괄 반영(2026-05-14)</x:v>
      </x:c>
      <x:c r="J116" s="56" t="n">
        <x:f>IF(OR(ISNUMBER(SEARCH("반차",D116)),ISNUMBER(SEARCH("0.5",D116))),IF(G116&gt;0,G116,0.5),IF(AND(ISNUMBER(SEARCH("연차",D116)),NOT(ISNUMBER(SEARCH("부여",D116)))),IF(G116&lt;&gt;"",G116,MAX(1,F116-E116+1)),0))</x:f>
        <x:v>1</x:v>
      </x:c>
      <x:c r="K116" s="58" t="n">
        <x:v>46156</x:v>
      </x:c>
    </x:row>
    <x:row r="117">
      <x:c r="A117" t="str">
        <x:v>0c565a99-1a11-4b29-b349-131b3b8a38c5</x:v>
      </x:c>
      <x:c r="B117" t="str">
        <x:v>박철홍정형외과</x:v>
      </x:c>
      <x:c r="C117" t="str">
        <x:v>송소현</x:v>
      </x:c>
      <x:c r="D117" t="str">
        <x:v>연차(이력)</x:v>
      </x:c>
      <x:c r="E117" s="47" t="n">
        <x:v>45796</x:v>
      </x:c>
      <x:c r="F117" s="47" t="n">
        <x:v>45796</x:v>
      </x:c>
      <x:c r="G117" s="56"/>
      <x:c r="H117" t="str">
        <x:v>승인</x:v>
      </x:c>
      <x:c r="I117" t="str">
        <x:v>연차관리대장 일괄 반영(2026-05-14)</x:v>
      </x:c>
      <x:c r="J117" s="56" t="n">
        <x:f>IF(OR(ISNUMBER(SEARCH("반차",D117)),ISNUMBER(SEARCH("0.5",D117))),IF(G117&gt;0,G117,0.5),IF(AND(ISNUMBER(SEARCH("연차",D117)),NOT(ISNUMBER(SEARCH("부여",D117)))),IF(G117&lt;&gt;"",G117,MAX(1,F117-E117+1)),0))</x:f>
        <x:v>1</x:v>
      </x:c>
      <x:c r="K117" s="58" t="n">
        <x:v>46156</x:v>
      </x:c>
    </x:row>
    <x:row r="118">
      <x:c r="A118" t="str">
        <x:v>0c565a99-1a11-4b29-b349-131b3b8a38c5</x:v>
      </x:c>
      <x:c r="B118" t="str">
        <x:v>박철홍정형외과</x:v>
      </x:c>
      <x:c r="C118" t="str">
        <x:v>송소현</x:v>
      </x:c>
      <x:c r="D118" t="str">
        <x:v>연차(이력)</x:v>
      </x:c>
      <x:c r="E118" s="47" t="n">
        <x:v>45824</x:v>
      </x:c>
      <x:c r="F118" s="47" t="n">
        <x:v>45824</x:v>
      </x:c>
      <x:c r="G118" s="56"/>
      <x:c r="H118" t="str">
        <x:v>승인</x:v>
      </x:c>
      <x:c r="I118" t="str">
        <x:v>연차관리대장 일괄 반영(2026-05-14)</x:v>
      </x:c>
      <x:c r="J118" s="56" t="n">
        <x:f>IF(OR(ISNUMBER(SEARCH("반차",D118)),ISNUMBER(SEARCH("0.5",D118))),IF(G118&gt;0,G118,0.5),IF(AND(ISNUMBER(SEARCH("연차",D118)),NOT(ISNUMBER(SEARCH("부여",D118)))),IF(G118&lt;&gt;"",G118,MAX(1,F118-E118+1)),0))</x:f>
        <x:v>1</x:v>
      </x:c>
      <x:c r="K118" s="58" t="n">
        <x:v>46156</x:v>
      </x:c>
    </x:row>
    <x:row r="119">
      <x:c r="A119" t="str">
        <x:v>0c565a99-1a11-4b29-b349-131b3b8a38c5</x:v>
      </x:c>
      <x:c r="B119" t="str">
        <x:v>박철홍정형외과</x:v>
      </x:c>
      <x:c r="C119" t="str">
        <x:v>송소현</x:v>
      </x:c>
      <x:c r="D119" t="str">
        <x:v>연차(이력)</x:v>
      </x:c>
      <x:c r="E119" s="47" t="n">
        <x:v>45835</x:v>
      </x:c>
      <x:c r="F119" s="47" t="n">
        <x:v>45835</x:v>
      </x:c>
      <x:c r="G119" s="56"/>
      <x:c r="H119" t="str">
        <x:v>승인</x:v>
      </x:c>
      <x:c r="I119" t="str">
        <x:v>연차관리대장 일괄 반영(2026-05-14)</x:v>
      </x:c>
      <x:c r="J119" s="56" t="n">
        <x:f>IF(OR(ISNUMBER(SEARCH("반차",D119)),ISNUMBER(SEARCH("0.5",D119))),IF(G119&gt;0,G119,0.5),IF(AND(ISNUMBER(SEARCH("연차",D119)),NOT(ISNUMBER(SEARCH("부여",D119)))),IF(G119&lt;&gt;"",G119,MAX(1,F119-E119+1)),0))</x:f>
        <x:v>1</x:v>
      </x:c>
      <x:c r="K119" s="58" t="n">
        <x:v>46156</x:v>
      </x:c>
    </x:row>
    <x:row r="120">
      <x:c r="A120" t="str">
        <x:v>0c565a99-1a11-4b29-b349-131b3b8a38c5</x:v>
      </x:c>
      <x:c r="B120" t="str">
        <x:v>박철홍정형외과</x:v>
      </x:c>
      <x:c r="C120" t="str">
        <x:v>송소현</x:v>
      </x:c>
      <x:c r="D120" t="str">
        <x:v>연차(이력)</x:v>
      </x:c>
      <x:c r="E120" s="47" t="n">
        <x:v>45852</x:v>
      </x:c>
      <x:c r="F120" s="47" t="n">
        <x:v>45852</x:v>
      </x:c>
      <x:c r="G120" s="56"/>
      <x:c r="H120" t="str">
        <x:v>승인</x:v>
      </x:c>
      <x:c r="I120" t="str">
        <x:v>연차관리대장 일괄 반영(2026-05-14)</x:v>
      </x:c>
      <x:c r="J120" s="56" t="n">
        <x:f>IF(OR(ISNUMBER(SEARCH("반차",D120)),ISNUMBER(SEARCH("0.5",D120))),IF(G120&gt;0,G120,0.5),IF(AND(ISNUMBER(SEARCH("연차",D120)),NOT(ISNUMBER(SEARCH("부여",D120)))),IF(G120&lt;&gt;"",G120,MAX(1,F120-E120+1)),0))</x:f>
        <x:v>1</x:v>
      </x:c>
      <x:c r="K120" s="58" t="n">
        <x:v>46156</x:v>
      </x:c>
    </x:row>
    <x:row r="121">
      <x:c r="A121" t="str">
        <x:v>0c565a99-1a11-4b29-b349-131b3b8a38c5</x:v>
      </x:c>
      <x:c r="B121" t="str">
        <x:v>박철홍정형외과</x:v>
      </x:c>
      <x:c r="C121" t="str">
        <x:v>송소현</x:v>
      </x:c>
      <x:c r="D121" t="str">
        <x:v>연차(이력)</x:v>
      </x:c>
      <x:c r="E121" s="47" t="n">
        <x:v>45883</x:v>
      </x:c>
      <x:c r="F121" s="47" t="n">
        <x:v>45883</x:v>
      </x:c>
      <x:c r="G121" s="56"/>
      <x:c r="H121" t="str">
        <x:v>승인</x:v>
      </x:c>
      <x:c r="I121" t="str">
        <x:v>연차관리대장 일괄 반영(2026-05-14)</x:v>
      </x:c>
      <x:c r="J121" s="56" t="n">
        <x:f>IF(OR(ISNUMBER(SEARCH("반차",D121)),ISNUMBER(SEARCH("0.5",D121))),IF(G121&gt;0,G121,0.5),IF(AND(ISNUMBER(SEARCH("연차",D121)),NOT(ISNUMBER(SEARCH("부여",D121)))),IF(G121&lt;&gt;"",G121,MAX(1,F121-E121+1)),0))</x:f>
        <x:v>1</x:v>
      </x:c>
      <x:c r="K121" s="58" t="n">
        <x:v>46156</x:v>
      </x:c>
    </x:row>
    <x:row r="122">
      <x:c r="A122" t="str">
        <x:v>0c565a99-1a11-4b29-b349-131b3b8a38c5</x:v>
      </x:c>
      <x:c r="B122" t="str">
        <x:v>박철홍정형외과</x:v>
      </x:c>
      <x:c r="C122" t="str">
        <x:v>송소현</x:v>
      </x:c>
      <x:c r="D122" t="str">
        <x:v>연차(이력)</x:v>
      </x:c>
      <x:c r="E122" s="47" t="n">
        <x:v>45925</x:v>
      </x:c>
      <x:c r="F122" s="47" t="n">
        <x:v>45925</x:v>
      </x:c>
      <x:c r="G122" s="56"/>
      <x:c r="H122" t="str">
        <x:v>승인</x:v>
      </x:c>
      <x:c r="I122" t="str">
        <x:v>연차관리대장 일괄 반영(2026-05-14)</x:v>
      </x:c>
      <x:c r="J122" s="56" t="n">
        <x:f>IF(OR(ISNUMBER(SEARCH("반차",D122)),ISNUMBER(SEARCH("0.5",D122))),IF(G122&gt;0,G122,0.5),IF(AND(ISNUMBER(SEARCH("연차",D122)),NOT(ISNUMBER(SEARCH("부여",D122)))),IF(G122&lt;&gt;"",G122,MAX(1,F122-E122+1)),0))</x:f>
        <x:v>1</x:v>
      </x:c>
      <x:c r="K122" s="58" t="n">
        <x:v>46156</x:v>
      </x:c>
    </x:row>
    <x:row r="123">
      <x:c r="A123" t="str">
        <x:v>0c565a99-1a11-4b29-b349-131b3b8a38c5</x:v>
      </x:c>
      <x:c r="B123" t="str">
        <x:v>박철홍정형외과</x:v>
      </x:c>
      <x:c r="C123" t="str">
        <x:v>송소현</x:v>
      </x:c>
      <x:c r="D123" t="str">
        <x:v>연차(이력)</x:v>
      </x:c>
      <x:c r="E123" s="47" t="n">
        <x:v>45931</x:v>
      </x:c>
      <x:c r="F123" s="47" t="n">
        <x:v>45931</x:v>
      </x:c>
      <x:c r="G123" s="56"/>
      <x:c r="H123" t="str">
        <x:v>승인</x:v>
      </x:c>
      <x:c r="I123" t="str">
        <x:v>연차관리대장 일괄 반영(2026-05-14)</x:v>
      </x:c>
      <x:c r="J123" s="56" t="n">
        <x:f>IF(OR(ISNUMBER(SEARCH("반차",D123)),ISNUMBER(SEARCH("0.5",D123))),IF(G123&gt;0,G123,0.5),IF(AND(ISNUMBER(SEARCH("연차",D123)),NOT(ISNUMBER(SEARCH("부여",D123)))),IF(G123&lt;&gt;"",G123,MAX(1,F123-E123+1)),0))</x:f>
        <x:v>1</x:v>
      </x:c>
      <x:c r="K123" s="58" t="n">
        <x:v>46156</x:v>
      </x:c>
    </x:row>
    <x:row r="124">
      <x:c r="A124" t="str">
        <x:v>0c565a99-1a11-4b29-b349-131b3b8a38c5</x:v>
      </x:c>
      <x:c r="B124" t="str">
        <x:v>박철홍정형외과</x:v>
      </x:c>
      <x:c r="C124" t="str">
        <x:v>송소현</x:v>
      </x:c>
      <x:c r="D124" t="str">
        <x:v>연차(이력)</x:v>
      </x:c>
      <x:c r="E124" s="47" t="n">
        <x:v>45978</x:v>
      </x:c>
      <x:c r="F124" s="47" t="n">
        <x:v>45978</x:v>
      </x:c>
      <x:c r="G124" s="56"/>
      <x:c r="H124" t="str">
        <x:v>승인</x:v>
      </x:c>
      <x:c r="I124" t="str">
        <x:v>연차관리대장 일괄 반영(2026-05-14)</x:v>
      </x:c>
      <x:c r="J124" s="56" t="n">
        <x:f>IF(OR(ISNUMBER(SEARCH("반차",D124)),ISNUMBER(SEARCH("0.5",D124))),IF(G124&gt;0,G124,0.5),IF(AND(ISNUMBER(SEARCH("연차",D124)),NOT(ISNUMBER(SEARCH("부여",D124)))),IF(G124&lt;&gt;"",G124,MAX(1,F124-E124+1)),0))</x:f>
        <x:v>1</x:v>
      </x:c>
      <x:c r="K124" s="58" t="n">
        <x:v>46156</x:v>
      </x:c>
    </x:row>
    <x:row r="125">
      <x:c r="A125" t="str">
        <x:v>0c565a99-1a11-4b29-b349-131b3b8a38c5</x:v>
      </x:c>
      <x:c r="B125" t="str">
        <x:v>박철홍정형외과</x:v>
      </x:c>
      <x:c r="C125" t="str">
        <x:v>송소현</x:v>
      </x:c>
      <x:c r="D125" t="str">
        <x:v>연차(이력)</x:v>
      </x:c>
      <x:c r="E125" s="47" t="n">
        <x:v>45999</x:v>
      </x:c>
      <x:c r="F125" s="47" t="n">
        <x:v>45999</x:v>
      </x:c>
      <x:c r="G125" s="56"/>
      <x:c r="H125" t="str">
        <x:v>승인</x:v>
      </x:c>
      <x:c r="I125" t="str">
        <x:v>연차관리대장 일괄 반영(2026-05-14)</x:v>
      </x:c>
      <x:c r="J125" s="56" t="n">
        <x:f>IF(OR(ISNUMBER(SEARCH("반차",D125)),ISNUMBER(SEARCH("0.5",D125))),IF(G125&gt;0,G125,0.5),IF(AND(ISNUMBER(SEARCH("연차",D125)),NOT(ISNUMBER(SEARCH("부여",D125)))),IF(G125&lt;&gt;"",G125,MAX(1,F125-E125+1)),0))</x:f>
        <x:v>1</x:v>
      </x:c>
      <x:c r="K125" s="58" t="n">
        <x:v>46156</x:v>
      </x:c>
    </x:row>
    <x:row r="126">
      <x:c r="A126" t="str">
        <x:v>0c565a99-1a11-4b29-b349-131b3b8a38c5</x:v>
      </x:c>
      <x:c r="B126" t="str">
        <x:v>박철홍정형외과</x:v>
      </x:c>
      <x:c r="C126" t="str">
        <x:v>송소현</x:v>
      </x:c>
      <x:c r="D126" t="str">
        <x:v>연차(이력)</x:v>
      </x:c>
      <x:c r="E126" s="47" t="n">
        <x:v>46024</x:v>
      </x:c>
      <x:c r="F126" s="47" t="n">
        <x:v>46024</x:v>
      </x:c>
      <x:c r="G126" s="56"/>
      <x:c r="H126" t="str">
        <x:v>승인</x:v>
      </x:c>
      <x:c r="I126" t="str">
        <x:v>연차관리대장 일괄 반영(2026-05-14)</x:v>
      </x:c>
      <x:c r="J126" s="56" t="n">
        <x:f>IF(OR(ISNUMBER(SEARCH("반차",D126)),ISNUMBER(SEARCH("0.5",D126))),IF(G126&gt;0,G126,0.5),IF(AND(ISNUMBER(SEARCH("연차",D126)),NOT(ISNUMBER(SEARCH("부여",D126)))),IF(G126&lt;&gt;"",G126,MAX(1,F126-E126+1)),0))</x:f>
        <x:v>1</x:v>
      </x:c>
      <x:c r="K126" s="58" t="n">
        <x:v>46156</x:v>
      </x:c>
    </x:row>
    <x:row r="127">
      <x:c r="A127" t="str">
        <x:v>0c565a99-1a11-4b29-b349-131b3b8a38c5</x:v>
      </x:c>
      <x:c r="B127" t="str">
        <x:v>박철홍정형외과</x:v>
      </x:c>
      <x:c r="C127" t="str">
        <x:v>송소현</x:v>
      </x:c>
      <x:c r="D127" t="str">
        <x:v>연차</x:v>
      </x:c>
      <x:c r="E127" s="47" t="n">
        <x:v>46052</x:v>
      </x:c>
      <x:c r="F127" s="47" t="n">
        <x:v>46052</x:v>
      </x:c>
      <x:c r="G127" s="56"/>
      <x:c r="H127" t="str">
        <x:v>승인</x:v>
      </x:c>
      <x:c r="I127" t="str">
        <x:v>연차관리대장 일괄 반영(2026-05-14)</x:v>
      </x:c>
      <x:c r="J127" s="56" t="n">
        <x:f>IF(OR(ISNUMBER(SEARCH("반차",D127)),ISNUMBER(SEARCH("0.5",D127))),IF(G127&gt;0,G127,0.5),IF(AND(ISNUMBER(SEARCH("연차",D127)),NOT(ISNUMBER(SEARCH("부여",D127)))),IF(G127&lt;&gt;"",G127,MAX(1,F127-E127+1)),0))</x:f>
        <x:v>1</x:v>
      </x:c>
      <x:c r="K127" s="58" t="n">
        <x:v>46156</x:v>
      </x:c>
    </x:row>
    <x:row r="128">
      <x:c r="A128" t="str">
        <x:v>0c565a99-1a11-4b29-b349-131b3b8a38c5</x:v>
      </x:c>
      <x:c r="B128" t="str">
        <x:v>박철홍정형외과</x:v>
      </x:c>
      <x:c r="C128" t="str">
        <x:v>송소현</x:v>
      </x:c>
      <x:c r="D128" t="str">
        <x:v>연차</x:v>
      </x:c>
      <x:c r="E128" s="47" t="n">
        <x:v>46087</x:v>
      </x:c>
      <x:c r="F128" s="47" t="n">
        <x:v>46087</x:v>
      </x:c>
      <x:c r="G128" s="56"/>
      <x:c r="H128" t="str">
        <x:v>승인</x:v>
      </x:c>
      <x:c r="I128" t="str">
        <x:v>연차관리대장 일괄 반영(2026-05-14)</x:v>
      </x:c>
      <x:c r="J128" s="56" t="n">
        <x:f>IF(OR(ISNUMBER(SEARCH("반차",D128)),ISNUMBER(SEARCH("0.5",D128))),IF(G128&gt;0,G128,0.5),IF(AND(ISNUMBER(SEARCH("연차",D128)),NOT(ISNUMBER(SEARCH("부여",D128)))),IF(G128&lt;&gt;"",G128,MAX(1,F128-E128+1)),0))</x:f>
        <x:v>1</x:v>
      </x:c>
      <x:c r="K128" s="58" t="n">
        <x:v>46156</x:v>
      </x:c>
    </x:row>
    <x:row r="129">
      <x:c r="A129" t="str">
        <x:v>0c565a99-1a11-4b29-b349-131b3b8a38c5</x:v>
      </x:c>
      <x:c r="B129" t="str">
        <x:v>박철홍정형외과</x:v>
      </x:c>
      <x:c r="C129" t="str">
        <x:v>송소현</x:v>
      </x:c>
      <x:c r="D129" t="str">
        <x:v>연차</x:v>
      </x:c>
      <x:c r="E129" s="47" t="n">
        <x:v>46088</x:v>
      </x:c>
      <x:c r="F129" s="47" t="n">
        <x:v>46088</x:v>
      </x:c>
      <x:c r="G129" s="56"/>
      <x:c r="H129" t="str">
        <x:v>승인</x:v>
      </x:c>
      <x:c r="I129" t="str">
        <x:v>연차관리대장 일괄 반영(2026-05-14)</x:v>
      </x:c>
      <x:c r="J129" s="56" t="n">
        <x:f>IF(OR(ISNUMBER(SEARCH("반차",D129)),ISNUMBER(SEARCH("0.5",D129))),IF(G129&gt;0,G129,0.5),IF(AND(ISNUMBER(SEARCH("연차",D129)),NOT(ISNUMBER(SEARCH("부여",D129)))),IF(G129&lt;&gt;"",G129,MAX(1,F129-E129+1)),0))</x:f>
        <x:v>1</x:v>
      </x:c>
      <x:c r="K129" s="58" t="n">
        <x:v>46156</x:v>
      </x:c>
    </x:row>
    <x:row r="130">
      <x:c r="A130" t="str">
        <x:v>0c565a99-1a11-4b29-b349-131b3b8a38c5</x:v>
      </x:c>
      <x:c r="B130" t="str">
        <x:v>박철홍정형외과</x:v>
      </x:c>
      <x:c r="C130" t="str">
        <x:v>송소현</x:v>
      </x:c>
      <x:c r="D130" t="str">
        <x:v>연차</x:v>
      </x:c>
      <x:c r="E130" s="47" t="n">
        <x:v>46091</x:v>
      </x:c>
      <x:c r="F130" s="47" t="n">
        <x:v>46091</x:v>
      </x:c>
      <x:c r="G130" s="56"/>
      <x:c r="H130" t="str">
        <x:v>승인</x:v>
      </x:c>
      <x:c r="I130" t="str">
        <x:v>연차관리대장 일괄 반영(2026-05-14)</x:v>
      </x:c>
      <x:c r="J130" s="56" t="n">
        <x:f>IF(OR(ISNUMBER(SEARCH("반차",D130)),ISNUMBER(SEARCH("0.5",D130))),IF(G130&gt;0,G130,0.5),IF(AND(ISNUMBER(SEARCH("연차",D130)),NOT(ISNUMBER(SEARCH("부여",D130)))),IF(G130&lt;&gt;"",G130,MAX(1,F130-E130+1)),0))</x:f>
        <x:v>1</x:v>
      </x:c>
      <x:c r="K130" s="58" t="n">
        <x:v>46156</x:v>
      </x:c>
    </x:row>
    <x:row r="131">
      <x:c r="A131" t="str">
        <x:v>0c565a99-1a11-4b29-b349-131b3b8a38c5</x:v>
      </x:c>
      <x:c r="B131" t="str">
        <x:v>박철홍정형외과</x:v>
      </x:c>
      <x:c r="C131" t="str">
        <x:v>송소현</x:v>
      </x:c>
      <x:c r="D131" t="str">
        <x:v>연차</x:v>
      </x:c>
      <x:c r="E131" s="47" t="n">
        <x:v>46098</x:v>
      </x:c>
      <x:c r="F131" s="47" t="n">
        <x:v>46098</x:v>
      </x:c>
      <x:c r="G131" s="56"/>
      <x:c r="H131" t="str">
        <x:v>승인</x:v>
      </x:c>
      <x:c r="I131" t="str">
        <x:v>연차관리대장 일괄 반영(2026-05-14)</x:v>
      </x:c>
      <x:c r="J131" s="56" t="n">
        <x:f>IF(OR(ISNUMBER(SEARCH("반차",D131)),ISNUMBER(SEARCH("0.5",D131))),IF(G131&gt;0,G131,0.5),IF(AND(ISNUMBER(SEARCH("연차",D131)),NOT(ISNUMBER(SEARCH("부여",D131)))),IF(G131&lt;&gt;"",G131,MAX(1,F131-E131+1)),0))</x:f>
        <x:v>1</x:v>
      </x:c>
      <x:c r="K131" s="58" t="n">
        <x:v>46156</x:v>
      </x:c>
    </x:row>
    <x:row r="132">
      <x:c r="A132" t="str">
        <x:v>0c565a99-1a11-4b29-b349-131b3b8a38c5</x:v>
      </x:c>
      <x:c r="B132" t="str">
        <x:v>박철홍정형외과</x:v>
      </x:c>
      <x:c r="C132" t="str">
        <x:v>송소현</x:v>
      </x:c>
      <x:c r="D132" t="str">
        <x:v>연차</x:v>
      </x:c>
      <x:c r="E132" s="47" t="n">
        <x:v>46123</x:v>
      </x:c>
      <x:c r="F132" s="47" t="n">
        <x:v>46123</x:v>
      </x:c>
      <x:c r="G132" s="56"/>
      <x:c r="H132" t="str">
        <x:v>승인</x:v>
      </x:c>
      <x:c r="I132" t="str">
        <x:v>연차관리대장 일괄 반영(2026-05-14)</x:v>
      </x:c>
      <x:c r="J132" s="56" t="n">
        <x:f>IF(OR(ISNUMBER(SEARCH("반차",D132)),ISNUMBER(SEARCH("0.5",D132))),IF(G132&gt;0,G132,0.5),IF(AND(ISNUMBER(SEARCH("연차",D132)),NOT(ISNUMBER(SEARCH("부여",D132)))),IF(G132&lt;&gt;"",G132,MAX(1,F132-E132+1)),0))</x:f>
        <x:v>1</x:v>
      </x:c>
      <x:c r="K132" s="58" t="n">
        <x:v>46156</x:v>
      </x:c>
    </x:row>
    <x:row r="133">
      <x:c r="A133" t="str">
        <x:v>0c565a99-1a11-4b29-b349-131b3b8a38c5</x:v>
      </x:c>
      <x:c r="B133" t="str">
        <x:v>박철홍정형외과</x:v>
      </x:c>
      <x:c r="C133" t="str">
        <x:v>송소현</x:v>
      </x:c>
      <x:c r="D133" t="str">
        <x:v>연차 (1.0)</x:v>
      </x:c>
      <x:c r="E133" s="47" t="n">
        <x:v>46195</x:v>
      </x:c>
      <x:c r="F133" s="47" t="n">
        <x:v>46195</x:v>
      </x:c>
      <x:c r="G133" s="56"/>
      <x:c r="H133" t="str">
        <x:v>승인</x:v>
      </x:c>
      <x:c r="I133" t="str">
        <x:v>개인사유로 인하여 연차 신청합니다.</x:v>
      </x:c>
      <x:c r="J133" s="56" t="n">
        <x:f>IF(OR(ISNUMBER(SEARCH("반차",D133)),ISNUMBER(SEARCH("0.5",D133))),IF(G133&gt;0,G133,0.5),IF(AND(ISNUMBER(SEARCH("연차",D133)),NOT(ISNUMBER(SEARCH("부여",D133)))),IF(G133&lt;&gt;"",G133,MAX(1,F133-E133+1)),0))</x:f>
        <x:v>1</x:v>
      </x:c>
      <x:c r="K133" s="58" t="n">
        <x:v>46189</x:v>
      </x:c>
    </x:row>
    <x:row r="134">
      <x:c r="A134" t="str">
        <x:v>0c565a99-1a11-4b29-b349-131b3b8a38c5</x:v>
      </x:c>
      <x:c r="B134" t="str">
        <x:v>박철홍정형외과</x:v>
      </x:c>
      <x:c r="C134" t="str">
        <x:v>송소현</x:v>
      </x:c>
      <x:c r="D134" t="str">
        <x:v>연차(부여)</x:v>
      </x:c>
      <x:c r="E134" s="47" t="n">
        <x:v>46210</x:v>
      </x:c>
      <x:c r="F134" s="47" t="n">
        <x:v>46210</x:v>
      </x:c>
      <x:c r="G134" s="56" t="n">
        <x:v>0.5</x:v>
      </x:c>
      <x:c r="H134" t="str">
        <x:v>승인</x:v>
      </x:c>
      <x:c r="I134" t="str">
        <x:v>6/6근무(0.5)</x:v>
      </x:c>
      <x:c r="J134" s="56" t="n">
        <x:f>IF(OR(ISNUMBER(SEARCH("반차",D134)),ISNUMBER(SEARCH("0.5",D134))),IF(G134&gt;0,G134,0.5),IF(AND(ISNUMBER(SEARCH("연차",D134)),NOT(ISNUMBER(SEARCH("부여",D134)))),IF(G134&lt;&gt;"",G134,MAX(1,F134-E134+1)),0))</x:f>
        <x:v>0</x:v>
      </x:c>
      <x:c r="K134" s="58" t="n">
        <x:v>46209</x:v>
      </x:c>
    </x:row>
    <x:row r="135">
      <x:c r="A135" t="str">
        <x:v>0c565a99-1a11-4b29-b349-131b3b8a38c5</x:v>
      </x:c>
      <x:c r="B135" t="str">
        <x:v>박철홍정형외과</x:v>
      </x:c>
      <x:c r="C135" t="str">
        <x:v>송소현</x:v>
      </x:c>
      <x:c r="D135" t="str">
        <x:v>연차 (1.0)</x:v>
      </x:c>
      <x:c r="E135" s="47" t="n">
        <x:v>46213</x:v>
      </x:c>
      <x:c r="F135" s="47" t="n">
        <x:v>46213</x:v>
      </x:c>
      <x:c r="G135" s="56" t="n">
        <x:v>1</x:v>
      </x:c>
      <x:c r="H135" t="str">
        <x:v>승인</x:v>
      </x:c>
      <x:c r="I135" t="str">
        <x:v>개인사유로 인하여 연차 신청합니다.</x:v>
      </x:c>
      <x:c r="J135" s="56" t="n">
        <x:f>IF(OR(ISNUMBER(SEARCH("반차",D135)),ISNUMBER(SEARCH("0.5",D135))),IF(G135&gt;0,G135,0.5),IF(AND(ISNUMBER(SEARCH("연차",D135)),NOT(ISNUMBER(SEARCH("부여",D135)))),IF(G135&lt;&gt;"",G135,MAX(1,F135-E135+1)),0))</x:f>
        <x:v>1</x:v>
      </x:c>
      <x:c r="K135" s="58" t="n">
        <x:v>46205</x:v>
      </x:c>
    </x:row>
    <x:row r="136">
      <x:c r="A136" t="str">
        <x:v>589143b3-f117-4631-ad55-08c7ad6f2a05</x:v>
      </x:c>
      <x:c r="B136" t="str">
        <x:v>박철홍정형외과</x:v>
      </x:c>
      <x:c r="C136" t="str">
        <x:v>수술팀1</x:v>
      </x:c>
      <x:c r="D136" t="str">
        <x:v>연차 (1.0)</x:v>
      </x:c>
      <x:c r="E136" s="47" t="n">
        <x:v>46122</x:v>
      </x:c>
      <x:c r="F136" s="47" t="n">
        <x:v>46122</x:v>
      </x:c>
      <x:c r="G136" s="56"/>
      <x:c r="H136" t="str">
        <x:v>승인</x:v>
      </x:c>
      <x:c r="I136" t="str">
        <x:v>수술팀 이대성 
04월 10일
연차신청합니다</x:v>
      </x:c>
      <x:c r="J136" s="56" t="n">
        <x:f>IF(OR(ISNUMBER(SEARCH("반차",D136)),ISNUMBER(SEARCH("0.5",D136))),IF(G136&gt;0,G136,0.5),IF(AND(ISNUMBER(SEARCH("연차",D136)),NOT(ISNUMBER(SEARCH("부여",D136)))),IF(G136&lt;&gt;"",G136,MAX(1,F136-E136+1)),0))</x:f>
        <x:v>1</x:v>
      </x:c>
      <x:c r="K136" s="58" t="n">
        <x:v>46123</x:v>
      </x:c>
    </x:row>
    <x:row r="137">
      <x:c r="A137" t="str">
        <x:v>53dec6e9-e53e-4b71-87a5-750a82c87b02</x:v>
      </x:c>
      <x:c r="B137" t="str">
        <x:v>박철홍정형외과</x:v>
      </x:c>
      <x:c r="C137" t="str">
        <x:v>이가연</x:v>
      </x:c>
      <x:c r="D137" t="str">
        <x:v>연차(이력)</x:v>
      </x:c>
      <x:c r="E137" s="47" t="n">
        <x:v>45471</x:v>
      </x:c>
      <x:c r="F137" s="47" t="n">
        <x:v>45471</x:v>
      </x:c>
      <x:c r="G137" s="56"/>
      <x:c r="H137" t="str">
        <x:v>승인</x:v>
      </x:c>
      <x:c r="I137" t="str">
        <x:v>연차관리대장 일괄 반영(2026-05-14)</x:v>
      </x:c>
      <x:c r="J137" s="56" t="n">
        <x:f>IF(OR(ISNUMBER(SEARCH("반차",D137)),ISNUMBER(SEARCH("0.5",D137))),IF(G137&gt;0,G137,0.5),IF(AND(ISNUMBER(SEARCH("연차",D137)),NOT(ISNUMBER(SEARCH("부여",D137)))),IF(G137&lt;&gt;"",G137,MAX(1,F137-E137+1)),0))</x:f>
        <x:v>1</x:v>
      </x:c>
      <x:c r="K137" s="58" t="n">
        <x:v>46156</x:v>
      </x:c>
    </x:row>
    <x:row r="138">
      <x:c r="A138" t="str">
        <x:v>53dec6e9-e53e-4b71-87a5-750a82c87b02</x:v>
      </x:c>
      <x:c r="B138" t="str">
        <x:v>박철홍정형외과</x:v>
      </x:c>
      <x:c r="C138" t="str">
        <x:v>이가연</x:v>
      </x:c>
      <x:c r="D138" t="str">
        <x:v>연차(이력)</x:v>
      </x:c>
      <x:c r="E138" s="47" t="n">
        <x:v>45486</x:v>
      </x:c>
      <x:c r="F138" s="47" t="n">
        <x:v>45486</x:v>
      </x:c>
      <x:c r="G138" s="56"/>
      <x:c r="H138" t="str">
        <x:v>승인</x:v>
      </x:c>
      <x:c r="I138" t="str">
        <x:v>연차관리대장 일괄 반영(2026-05-14)</x:v>
      </x:c>
      <x:c r="J138" s="56" t="n">
        <x:f>IF(OR(ISNUMBER(SEARCH("반차",D138)),ISNUMBER(SEARCH("0.5",D138))),IF(G138&gt;0,G138,0.5),IF(AND(ISNUMBER(SEARCH("연차",D138)),NOT(ISNUMBER(SEARCH("부여",D138)))),IF(G138&lt;&gt;"",G138,MAX(1,F138-E138+1)),0))</x:f>
        <x:v>1</x:v>
      </x:c>
      <x:c r="K138" s="58" t="n">
        <x:v>46156</x:v>
      </x:c>
    </x:row>
    <x:row r="139">
      <x:c r="A139" t="str">
        <x:v>53dec6e9-e53e-4b71-87a5-750a82c87b02</x:v>
      </x:c>
      <x:c r="B139" t="str">
        <x:v>박철홍정형외과</x:v>
      </x:c>
      <x:c r="C139" t="str">
        <x:v>이가연</x:v>
      </x:c>
      <x:c r="D139" t="str">
        <x:v>연차(이력)</x:v>
      </x:c>
      <x:c r="E139" s="47" t="n">
        <x:v>45487</x:v>
      </x:c>
      <x:c r="F139" s="47" t="n">
        <x:v>45487</x:v>
      </x:c>
      <x:c r="G139" s="56"/>
      <x:c r="H139" t="str">
        <x:v>승인</x:v>
      </x:c>
      <x:c r="I139" t="str">
        <x:v>연차관리대장 일괄 반영(2026-05-14)</x:v>
      </x:c>
      <x:c r="J139" s="56" t="n">
        <x:f>IF(OR(ISNUMBER(SEARCH("반차",D139)),ISNUMBER(SEARCH("0.5",D139))),IF(G139&gt;0,G139,0.5),IF(AND(ISNUMBER(SEARCH("연차",D139)),NOT(ISNUMBER(SEARCH("부여",D139)))),IF(G139&lt;&gt;"",G139,MAX(1,F139-E139+1)),0))</x:f>
        <x:v>1</x:v>
      </x:c>
      <x:c r="K139" s="58" t="n">
        <x:v>46156</x:v>
      </x:c>
    </x:row>
    <x:row r="140">
      <x:c r="A140" t="str">
        <x:v>53dec6e9-e53e-4b71-87a5-750a82c87b02</x:v>
      </x:c>
      <x:c r="B140" t="str">
        <x:v>박철홍정형외과</x:v>
      </x:c>
      <x:c r="C140" t="str">
        <x:v>이가연</x:v>
      </x:c>
      <x:c r="D140" t="str">
        <x:v>연차(이력)</x:v>
      </x:c>
      <x:c r="E140" s="47" t="n">
        <x:v>45498</x:v>
      </x:c>
      <x:c r="F140" s="47" t="n">
        <x:v>45498</x:v>
      </x:c>
      <x:c r="G140" s="56"/>
      <x:c r="H140" t="str">
        <x:v>승인</x:v>
      </x:c>
      <x:c r="I140" t="str">
        <x:v>연차관리대장 일괄 반영(2026-05-14)</x:v>
      </x:c>
      <x:c r="J140" s="56" t="n">
        <x:f>IF(OR(ISNUMBER(SEARCH("반차",D140)),ISNUMBER(SEARCH("0.5",D140))),IF(G140&gt;0,G140,0.5),IF(AND(ISNUMBER(SEARCH("연차",D140)),NOT(ISNUMBER(SEARCH("부여",D140)))),IF(G140&lt;&gt;"",G140,MAX(1,F140-E140+1)),0))</x:f>
        <x:v>1</x:v>
      </x:c>
      <x:c r="K140" s="58" t="n">
        <x:v>46156</x:v>
      </x:c>
    </x:row>
    <x:row r="141">
      <x:c r="A141" t="str">
        <x:v>53dec6e9-e53e-4b71-87a5-750a82c87b02</x:v>
      </x:c>
      <x:c r="B141" t="str">
        <x:v>박철홍정형외과</x:v>
      </x:c>
      <x:c r="C141" t="str">
        <x:v>이가연</x:v>
      </x:c>
      <x:c r="D141" t="str">
        <x:v>연차(이력)</x:v>
      </x:c>
      <x:c r="E141" s="47" t="n">
        <x:v>45499</x:v>
      </x:c>
      <x:c r="F141" s="47" t="n">
        <x:v>45499</x:v>
      </x:c>
      <x:c r="G141" s="56"/>
      <x:c r="H141" t="str">
        <x:v>승인</x:v>
      </x:c>
      <x:c r="I141" t="str">
        <x:v>연차관리대장 일괄 반영(2026-05-14)</x:v>
      </x:c>
      <x:c r="J141" s="56" t="n">
        <x:f>IF(OR(ISNUMBER(SEARCH("반차",D141)),ISNUMBER(SEARCH("0.5",D141))),IF(G141&gt;0,G141,0.5),IF(AND(ISNUMBER(SEARCH("연차",D141)),NOT(ISNUMBER(SEARCH("부여",D141)))),IF(G141&lt;&gt;"",G141,MAX(1,F141-E141+1)),0))</x:f>
        <x:v>1</x:v>
      </x:c>
      <x:c r="K141" s="58" t="n">
        <x:v>46156</x:v>
      </x:c>
    </x:row>
    <x:row r="142">
      <x:c r="A142" t="str">
        <x:v>53dec6e9-e53e-4b71-87a5-750a82c87b02</x:v>
      </x:c>
      <x:c r="B142" t="str">
        <x:v>박철홍정형외과</x:v>
      </x:c>
      <x:c r="C142" t="str">
        <x:v>이가연</x:v>
      </x:c>
      <x:c r="D142" t="str">
        <x:v>연차(이력)</x:v>
      </x:c>
      <x:c r="E142" s="47" t="n">
        <x:v>45504</x:v>
      </x:c>
      <x:c r="F142" s="47" t="n">
        <x:v>45504</x:v>
      </x:c>
      <x:c r="G142" s="56"/>
      <x:c r="H142" t="str">
        <x:v>승인</x:v>
      </x:c>
      <x:c r="I142" t="str">
        <x:v>연차관리대장 일괄 반영(2026-05-14)</x:v>
      </x:c>
      <x:c r="J142" s="56" t="n">
        <x:f>IF(OR(ISNUMBER(SEARCH("반차",D142)),ISNUMBER(SEARCH("0.5",D142))),IF(G142&gt;0,G142,0.5),IF(AND(ISNUMBER(SEARCH("연차",D142)),NOT(ISNUMBER(SEARCH("부여",D142)))),IF(G142&lt;&gt;"",G142,MAX(1,F142-E142+1)),0))</x:f>
        <x:v>1</x:v>
      </x:c>
      <x:c r="K142" s="58" t="n">
        <x:v>46156</x:v>
      </x:c>
    </x:row>
    <x:row r="143">
      <x:c r="A143" t="str">
        <x:v>53dec6e9-e53e-4b71-87a5-750a82c87b02</x:v>
      </x:c>
      <x:c r="B143" t="str">
        <x:v>박철홍정형외과</x:v>
      </x:c>
      <x:c r="C143" t="str">
        <x:v>이가연</x:v>
      </x:c>
      <x:c r="D143" t="str">
        <x:v>연차(이력)</x:v>
      </x:c>
      <x:c r="E143" s="47" t="n">
        <x:v>45540</x:v>
      </x:c>
      <x:c r="F143" s="47" t="n">
        <x:v>45540</x:v>
      </x:c>
      <x:c r="G143" s="56"/>
      <x:c r="H143" t="str">
        <x:v>승인</x:v>
      </x:c>
      <x:c r="I143" t="str">
        <x:v>연차관리대장 일괄 반영(2026-05-14)</x:v>
      </x:c>
      <x:c r="J143" s="56" t="n">
        <x:f>IF(OR(ISNUMBER(SEARCH("반차",D143)),ISNUMBER(SEARCH("0.5",D143))),IF(G143&gt;0,G143,0.5),IF(AND(ISNUMBER(SEARCH("연차",D143)),NOT(ISNUMBER(SEARCH("부여",D143)))),IF(G143&lt;&gt;"",G143,MAX(1,F143-E143+1)),0))</x:f>
        <x:v>1</x:v>
      </x:c>
      <x:c r="K143" s="58" t="n">
        <x:v>46156</x:v>
      </x:c>
    </x:row>
    <x:row r="144">
      <x:c r="A144" t="str">
        <x:v>53dec6e9-e53e-4b71-87a5-750a82c87b02</x:v>
      </x:c>
      <x:c r="B144" t="str">
        <x:v>박철홍정형외과</x:v>
      </x:c>
      <x:c r="C144" t="str">
        <x:v>이가연</x:v>
      </x:c>
      <x:c r="D144" t="str">
        <x:v>연차(이력)</x:v>
      </x:c>
      <x:c r="E144" s="47" t="n">
        <x:v>45541</x:v>
      </x:c>
      <x:c r="F144" s="47" t="n">
        <x:v>45541</x:v>
      </x:c>
      <x:c r="G144" s="56"/>
      <x:c r="H144" t="str">
        <x:v>승인</x:v>
      </x:c>
      <x:c r="I144" t="str">
        <x:v>연차관리대장 일괄 반영(2026-05-14)</x:v>
      </x:c>
      <x:c r="J144" s="56" t="n">
        <x:f>IF(OR(ISNUMBER(SEARCH("반차",D144)),ISNUMBER(SEARCH("0.5",D144))),IF(G144&gt;0,G144,0.5),IF(AND(ISNUMBER(SEARCH("연차",D144)),NOT(ISNUMBER(SEARCH("부여",D144)))),IF(G144&lt;&gt;"",G144,MAX(1,F144-E144+1)),0))</x:f>
        <x:v>1</x:v>
      </x:c>
      <x:c r="K144" s="58" t="n">
        <x:v>46156</x:v>
      </x:c>
    </x:row>
    <x:row r="145">
      <x:c r="A145" t="str">
        <x:v>53dec6e9-e53e-4b71-87a5-750a82c87b02</x:v>
      </x:c>
      <x:c r="B145" t="str">
        <x:v>박철홍정형외과</x:v>
      </x:c>
      <x:c r="C145" t="str">
        <x:v>이가연</x:v>
      </x:c>
      <x:c r="D145" t="str">
        <x:v>연차(이력)</x:v>
      </x:c>
      <x:c r="E145" s="47" t="n">
        <x:v>45542</x:v>
      </x:c>
      <x:c r="F145" s="47" t="n">
        <x:v>45542</x:v>
      </x:c>
      <x:c r="G145" s="56"/>
      <x:c r="H145" t="str">
        <x:v>승인</x:v>
      </x:c>
      <x:c r="I145" t="str">
        <x:v>연차관리대장 일괄 반영(2026-05-14)</x:v>
      </x:c>
      <x:c r="J145" s="56" t="n">
        <x:f>IF(OR(ISNUMBER(SEARCH("반차",D145)),ISNUMBER(SEARCH("0.5",D145))),IF(G145&gt;0,G145,0.5),IF(AND(ISNUMBER(SEARCH("연차",D145)),NOT(ISNUMBER(SEARCH("부여",D145)))),IF(G145&lt;&gt;"",G145,MAX(1,F145-E145+1)),0))</x:f>
        <x:v>1</x:v>
      </x:c>
      <x:c r="K145" s="58" t="n">
        <x:v>46156</x:v>
      </x:c>
    </x:row>
    <x:row r="146">
      <x:c r="A146" t="str">
        <x:v>53dec6e9-e53e-4b71-87a5-750a82c87b02</x:v>
      </x:c>
      <x:c r="B146" t="str">
        <x:v>박철홍정형외과</x:v>
      </x:c>
      <x:c r="C146" t="str">
        <x:v>이가연</x:v>
      </x:c>
      <x:c r="D146" t="str">
        <x:v>연차(이력)</x:v>
      </x:c>
      <x:c r="E146" s="47" t="n">
        <x:v>45605</x:v>
      </x:c>
      <x:c r="F146" s="47" t="n">
        <x:v>45605</x:v>
      </x:c>
      <x:c r="G146" s="56"/>
      <x:c r="H146" t="str">
        <x:v>승인</x:v>
      </x:c>
      <x:c r="I146" t="str">
        <x:v>연차관리대장 일괄 반영(2026-05-14)</x:v>
      </x:c>
      <x:c r="J146" s="56" t="n">
        <x:f>IF(OR(ISNUMBER(SEARCH("반차",D146)),ISNUMBER(SEARCH("0.5",D146))),IF(G146&gt;0,G146,0.5),IF(AND(ISNUMBER(SEARCH("연차",D146)),NOT(ISNUMBER(SEARCH("부여",D146)))),IF(G146&lt;&gt;"",G146,MAX(1,F146-E146+1)),0))</x:f>
        <x:v>1</x:v>
      </x:c>
      <x:c r="K146" s="58" t="n">
        <x:v>46156</x:v>
      </x:c>
    </x:row>
    <x:row r="147">
      <x:c r="A147" t="str">
        <x:v>53dec6e9-e53e-4b71-87a5-750a82c87b02</x:v>
      </x:c>
      <x:c r="B147" t="str">
        <x:v>박철홍정형외과</x:v>
      </x:c>
      <x:c r="C147" t="str">
        <x:v>이가연</x:v>
      </x:c>
      <x:c r="D147" t="str">
        <x:v>연차(이력)</x:v>
      </x:c>
      <x:c r="E147" s="47" t="n">
        <x:v>45696</x:v>
      </x:c>
      <x:c r="F147" s="47" t="n">
        <x:v>45696</x:v>
      </x:c>
      <x:c r="G147" s="56"/>
      <x:c r="H147" t="str">
        <x:v>승인</x:v>
      </x:c>
      <x:c r="I147" t="str">
        <x:v>연차관리대장 일괄 반영(2026-05-14)</x:v>
      </x:c>
      <x:c r="J147" s="56" t="n">
        <x:f>IF(OR(ISNUMBER(SEARCH("반차",D147)),ISNUMBER(SEARCH("0.5",D147))),IF(G147&gt;0,G147,0.5),IF(AND(ISNUMBER(SEARCH("연차",D147)),NOT(ISNUMBER(SEARCH("부여",D147)))),IF(G147&lt;&gt;"",G147,MAX(1,F147-E147+1)),0))</x:f>
        <x:v>1</x:v>
      </x:c>
      <x:c r="K147" s="58" t="n">
        <x:v>46156</x:v>
      </x:c>
    </x:row>
    <x:row r="148">
      <x:c r="A148" t="str">
        <x:v>53dec6e9-e53e-4b71-87a5-750a82c87b02</x:v>
      </x:c>
      <x:c r="B148" t="str">
        <x:v>박철홍정형외과</x:v>
      </x:c>
      <x:c r="C148" t="str">
        <x:v>이가연</x:v>
      </x:c>
      <x:c r="D148" t="str">
        <x:v>연차(이력)</x:v>
      </x:c>
      <x:c r="E148" s="47" t="n">
        <x:v>45697</x:v>
      </x:c>
      <x:c r="F148" s="47" t="n">
        <x:v>45697</x:v>
      </x:c>
      <x:c r="G148" s="56"/>
      <x:c r="H148" t="str">
        <x:v>승인</x:v>
      </x:c>
      <x:c r="I148" t="str">
        <x:v>연차관리대장 일괄 반영(2026-05-14)</x:v>
      </x:c>
      <x:c r="J148" s="56" t="n">
        <x:f>IF(OR(ISNUMBER(SEARCH("반차",D148)),ISNUMBER(SEARCH("0.5",D148))),IF(G148&gt;0,G148,0.5),IF(AND(ISNUMBER(SEARCH("연차",D148)),NOT(ISNUMBER(SEARCH("부여",D148)))),IF(G148&lt;&gt;"",G148,MAX(1,F148-E148+1)),0))</x:f>
        <x:v>1</x:v>
      </x:c>
      <x:c r="K148" s="58" t="n">
        <x:v>46156</x:v>
      </x:c>
    </x:row>
    <x:row r="149">
      <x:c r="A149" t="str">
        <x:v>53dec6e9-e53e-4b71-87a5-750a82c87b02</x:v>
      </x:c>
      <x:c r="B149" t="str">
        <x:v>박철홍정형외과</x:v>
      </x:c>
      <x:c r="C149" t="str">
        <x:v>이가연</x:v>
      </x:c>
      <x:c r="D149" t="str">
        <x:v>연차(이력)</x:v>
      </x:c>
      <x:c r="E149" s="47" t="n">
        <x:v>45805</x:v>
      </x:c>
      <x:c r="F149" s="47" t="n">
        <x:v>45805</x:v>
      </x:c>
      <x:c r="G149" s="56"/>
      <x:c r="H149" t="str">
        <x:v>승인</x:v>
      </x:c>
      <x:c r="I149" t="str">
        <x:v>연차관리대장 일괄 반영(2026-05-14)</x:v>
      </x:c>
      <x:c r="J149" s="56" t="n">
        <x:f>IF(OR(ISNUMBER(SEARCH("반차",D149)),ISNUMBER(SEARCH("0.5",D149))),IF(G149&gt;0,G149,0.5),IF(AND(ISNUMBER(SEARCH("연차",D149)),NOT(ISNUMBER(SEARCH("부여",D149)))),IF(G149&lt;&gt;"",G149,MAX(1,F149-E149+1)),0))</x:f>
        <x:v>1</x:v>
      </x:c>
      <x:c r="K149" s="58" t="n">
        <x:v>46156</x:v>
      </x:c>
    </x:row>
    <x:row r="150">
      <x:c r="A150" t="str">
        <x:v>53dec6e9-e53e-4b71-87a5-750a82c87b02</x:v>
      </x:c>
      <x:c r="B150" t="str">
        <x:v>박철홍정형외과</x:v>
      </x:c>
      <x:c r="C150" t="str">
        <x:v>이가연</x:v>
      </x:c>
      <x:c r="D150" t="str">
        <x:v>연차(이력)</x:v>
      </x:c>
      <x:c r="E150" s="47" t="n">
        <x:v>45828</x:v>
      </x:c>
      <x:c r="F150" s="47" t="n">
        <x:v>45828</x:v>
      </x:c>
      <x:c r="G150" s="56"/>
      <x:c r="H150" t="str">
        <x:v>승인</x:v>
      </x:c>
      <x:c r="I150" t="str">
        <x:v>연차관리대장 일괄 반영(2026-05-14)</x:v>
      </x:c>
      <x:c r="J150" s="56" t="n">
        <x:f>IF(OR(ISNUMBER(SEARCH("반차",D150)),ISNUMBER(SEARCH("0.5",D150))),IF(G150&gt;0,G150,0.5),IF(AND(ISNUMBER(SEARCH("연차",D150)),NOT(ISNUMBER(SEARCH("부여",D150)))),IF(G150&lt;&gt;"",G150,MAX(1,F150-E150+1)),0))</x:f>
        <x:v>1</x:v>
      </x:c>
      <x:c r="K150" s="58" t="n">
        <x:v>46156</x:v>
      </x:c>
    </x:row>
    <x:row r="151">
      <x:c r="A151" t="str">
        <x:v>53dec6e9-e53e-4b71-87a5-750a82c87b02</x:v>
      </x:c>
      <x:c r="B151" t="str">
        <x:v>박철홍정형외과</x:v>
      </x:c>
      <x:c r="C151" t="str">
        <x:v>이가연</x:v>
      </x:c>
      <x:c r="D151" t="str">
        <x:v>연차(이력)</x:v>
      </x:c>
      <x:c r="E151" s="47" t="n">
        <x:v>45956</x:v>
      </x:c>
      <x:c r="F151" s="47" t="n">
        <x:v>45956</x:v>
      </x:c>
      <x:c r="G151" s="56"/>
      <x:c r="H151" t="str">
        <x:v>승인</x:v>
      </x:c>
      <x:c r="I151" t="str">
        <x:v>연차관리대장 일괄 반영(2026-05-14)</x:v>
      </x:c>
      <x:c r="J151" s="56" t="n">
        <x:f>IF(OR(ISNUMBER(SEARCH("반차",D151)),ISNUMBER(SEARCH("0.5",D151))),IF(G151&gt;0,G151,0.5),IF(AND(ISNUMBER(SEARCH("연차",D151)),NOT(ISNUMBER(SEARCH("부여",D151)))),IF(G151&lt;&gt;"",G151,MAX(1,F151-E151+1)),0))</x:f>
        <x:v>1</x:v>
      </x:c>
      <x:c r="K151" s="58" t="n">
        <x:v>46156</x:v>
      </x:c>
    </x:row>
    <x:row r="152">
      <x:c r="A152" t="str">
        <x:v>53dec6e9-e53e-4b71-87a5-750a82c87b02</x:v>
      </x:c>
      <x:c r="B152" t="str">
        <x:v>박철홍정형외과</x:v>
      </x:c>
      <x:c r="C152" t="str">
        <x:v>이가연</x:v>
      </x:c>
      <x:c r="D152" t="str">
        <x:v>연차(이력)</x:v>
      </x:c>
      <x:c r="E152" s="47" t="n">
        <x:v>46018</x:v>
      </x:c>
      <x:c r="F152" s="47" t="n">
        <x:v>46018</x:v>
      </x:c>
      <x:c r="G152" s="56"/>
      <x:c r="H152" t="str">
        <x:v>승인</x:v>
      </x:c>
      <x:c r="I152" t="str">
        <x:v>연차관리대장 일괄 반영(2026-05-14)</x:v>
      </x:c>
      <x:c r="J152" s="56" t="n">
        <x:f>IF(OR(ISNUMBER(SEARCH("반차",D152)),ISNUMBER(SEARCH("0.5",D152))),IF(G152&gt;0,G152,0.5),IF(AND(ISNUMBER(SEARCH("연차",D152)),NOT(ISNUMBER(SEARCH("부여",D152)))),IF(G152&lt;&gt;"",G152,MAX(1,F152-E152+1)),0))</x:f>
        <x:v>1</x:v>
      </x:c>
      <x:c r="K152" s="58" t="n">
        <x:v>46156</x:v>
      </x:c>
    </x:row>
    <x:row r="153">
      <x:c r="A153" t="str">
        <x:v>53dec6e9-e53e-4b71-87a5-750a82c87b02</x:v>
      </x:c>
      <x:c r="B153" t="str">
        <x:v>박철홍정형외과</x:v>
      </x:c>
      <x:c r="C153" t="str">
        <x:v>이가연</x:v>
      </x:c>
      <x:c r="D153" t="str">
        <x:v>연차(이력)</x:v>
      </x:c>
      <x:c r="E153" s="47" t="n">
        <x:v>46019</x:v>
      </x:c>
      <x:c r="F153" s="47" t="n">
        <x:v>46019</x:v>
      </x:c>
      <x:c r="G153" s="56"/>
      <x:c r="H153" t="str">
        <x:v>승인</x:v>
      </x:c>
      <x:c r="I153" t="str">
        <x:v>연차관리대장 일괄 반영(2026-05-14)</x:v>
      </x:c>
      <x:c r="J153" s="56" t="n">
        <x:f>IF(OR(ISNUMBER(SEARCH("반차",D153)),ISNUMBER(SEARCH("0.5",D153))),IF(G153&gt;0,G153,0.5),IF(AND(ISNUMBER(SEARCH("연차",D153)),NOT(ISNUMBER(SEARCH("부여",D153)))),IF(G153&lt;&gt;"",G153,MAX(1,F153-E153+1)),0))</x:f>
        <x:v>1</x:v>
      </x:c>
      <x:c r="K153" s="58" t="n">
        <x:v>46156</x:v>
      </x:c>
    </x:row>
    <x:row r="154">
      <x:c r="A154" t="str">
        <x:v>53dec6e9-e53e-4b71-87a5-750a82c87b02</x:v>
      </x:c>
      <x:c r="B154" t="str">
        <x:v>박철홍정형외과</x:v>
      </x:c>
      <x:c r="C154" t="str">
        <x:v>이가연</x:v>
      </x:c>
      <x:c r="D154" t="str">
        <x:v>연차</x:v>
      </x:c>
      <x:c r="E154" s="47" t="n">
        <x:v>46040</x:v>
      </x:c>
      <x:c r="F154" s="47" t="n">
        <x:v>46040</x:v>
      </x:c>
      <x:c r="G154" s="56"/>
      <x:c r="H154" t="str">
        <x:v>승인</x:v>
      </x:c>
      <x:c r="I154" t="str">
        <x:v>연차관리대장 일괄 반영(2026-05-14)</x:v>
      </x:c>
      <x:c r="J154" s="56" t="n">
        <x:f>IF(OR(ISNUMBER(SEARCH("반차",D154)),ISNUMBER(SEARCH("0.5",D154))),IF(G154&gt;0,G154,0.5),IF(AND(ISNUMBER(SEARCH("연차",D154)),NOT(ISNUMBER(SEARCH("부여",D154)))),IF(G154&lt;&gt;"",G154,MAX(1,F154-E154+1)),0))</x:f>
        <x:v>1</x:v>
      </x:c>
      <x:c r="K154" s="58" t="n">
        <x:v>46156</x:v>
      </x:c>
    </x:row>
    <x:row r="155">
      <x:c r="A155" t="str">
        <x:v>53dec6e9-e53e-4b71-87a5-750a82c87b02</x:v>
      </x:c>
      <x:c r="B155" t="str">
        <x:v>박철홍정형외과</x:v>
      </x:c>
      <x:c r="C155" t="str">
        <x:v>이가연</x:v>
      </x:c>
      <x:c r="D155" t="str">
        <x:v>연차</x:v>
      </x:c>
      <x:c r="E155" s="47" t="n">
        <x:v>46053</x:v>
      </x:c>
      <x:c r="F155" s="47" t="n">
        <x:v>46053</x:v>
      </x:c>
      <x:c r="G155" s="56"/>
      <x:c r="H155" t="str">
        <x:v>승인</x:v>
      </x:c>
      <x:c r="I155" t="str">
        <x:v>연차관리대장 일괄 반영(2026-05-14)</x:v>
      </x:c>
      <x:c r="J155" s="56" t="n">
        <x:f>IF(OR(ISNUMBER(SEARCH("반차",D155)),ISNUMBER(SEARCH("0.5",D155))),IF(G155&gt;0,G155,0.5),IF(AND(ISNUMBER(SEARCH("연차",D155)),NOT(ISNUMBER(SEARCH("부여",D155)))),IF(G155&lt;&gt;"",G155,MAX(1,F155-E155+1)),0))</x:f>
        <x:v>1</x:v>
      </x:c>
      <x:c r="K155" s="58" t="n">
        <x:v>46156</x:v>
      </x:c>
    </x:row>
    <x:row r="156">
      <x:c r="A156" t="str">
        <x:v>53dec6e9-e53e-4b71-87a5-750a82c87b02</x:v>
      </x:c>
      <x:c r="B156" t="str">
        <x:v>박철홍정형외과</x:v>
      </x:c>
      <x:c r="C156" t="str">
        <x:v>이가연</x:v>
      </x:c>
      <x:c r="D156" t="str">
        <x:v>연차(과거사용)</x:v>
      </x:c>
      <x:c r="E156" s="47" t="n">
        <x:v>46107</x:v>
      </x:c>
      <x:c r="F156" s="47" t="n">
        <x:v>46107</x:v>
      </x:c>
      <x:c r="G156" s="56" t="n">
        <x:v>0.5</x:v>
      </x:c>
      <x:c r="H156" t="str">
        <x:v>승인</x:v>
      </x:c>
      <x:c r="I156" t="str">
        <x:v>기사용.</x:v>
      </x:c>
      <x:c r="J156" s="56" t="n">
        <x:f>IF(OR(ISNUMBER(SEARCH("반차",D156)),ISNUMBER(SEARCH("0.5",D156))),IF(G156&gt;0,G156,0.5),IF(AND(ISNUMBER(SEARCH("연차",D156)),NOT(ISNUMBER(SEARCH("부여",D156)))),IF(G156&lt;&gt;"",G156,MAX(1,F156-E156+1)),0))</x:f>
        <x:v>0.5</x:v>
      </x:c>
      <x:c r="K156" s="58" t="n">
        <x:v>46199</x:v>
      </x:c>
    </x:row>
    <x:row r="157">
      <x:c r="A157" t="str">
        <x:v>53dec6e9-e53e-4b71-87a5-750a82c87b02</x:v>
      </x:c>
      <x:c r="B157" t="str">
        <x:v>박철홍정형외과</x:v>
      </x:c>
      <x:c r="C157" t="str">
        <x:v>이가연</x:v>
      </x:c>
      <x:c r="D157" t="str">
        <x:v>연차</x:v>
      </x:c>
      <x:c r="E157" s="47" t="n">
        <x:v>46122</x:v>
      </x:c>
      <x:c r="F157" s="47" t="n">
        <x:v>46122</x:v>
      </x:c>
      <x:c r="G157" s="56"/>
      <x:c r="H157" t="str">
        <x:v>승인</x:v>
      </x:c>
      <x:c r="I157" t="str">
        <x:v>연차관리대장 일괄 반영(2026-05-14)</x:v>
      </x:c>
      <x:c r="J157" s="56" t="n">
        <x:f>IF(OR(ISNUMBER(SEARCH("반차",D157)),ISNUMBER(SEARCH("0.5",D157))),IF(G157&gt;0,G157,0.5),IF(AND(ISNUMBER(SEARCH("연차",D157)),NOT(ISNUMBER(SEARCH("부여",D157)))),IF(G157&lt;&gt;"",G157,MAX(1,F157-E157+1)),0))</x:f>
        <x:v>1</x:v>
      </x:c>
      <x:c r="K157" s="58" t="n">
        <x:v>46156</x:v>
      </x:c>
    </x:row>
    <x:row r="158">
      <x:c r="A158" t="str">
        <x:v>53dec6e9-e53e-4b71-87a5-750a82c87b02</x:v>
      </x:c>
      <x:c r="B158" t="str">
        <x:v>박철홍정형외과</x:v>
      </x:c>
      <x:c r="C158" t="str">
        <x:v>이가연</x:v>
      </x:c>
      <x:c r="D158" t="str">
        <x:v>연차 (1.0)</x:v>
      </x:c>
      <x:c r="E158" s="47" t="n">
        <x:v>46128</x:v>
      </x:c>
      <x:c r="F158" s="47" t="n">
        <x:v>46128</x:v>
      </x:c>
      <x:c r="G158" s="56"/>
      <x:c r="H158" t="str">
        <x:v>승인</x:v>
      </x:c>
      <x:c r="I158" t="str">
        <x:v>개인사정으로 연차를 신청하오니 허가하여 주시기 바랍니다.</x:v>
      </x:c>
      <x:c r="J158" s="56" t="n">
        <x:f>IF(OR(ISNUMBER(SEARCH("반차",D158)),ISNUMBER(SEARCH("0.5",D158))),IF(G158&gt;0,G158,0.5),IF(AND(ISNUMBER(SEARCH("연차",D158)),NOT(ISNUMBER(SEARCH("부여",D158)))),IF(G158&lt;&gt;"",G158,MAX(1,F158-E158+1)),0))</x:f>
        <x:v>1</x:v>
      </x:c>
      <x:c r="K158" s="58" t="n">
        <x:v>46122</x:v>
      </x:c>
    </x:row>
    <x:row r="159">
      <x:c r="A159" t="str">
        <x:v>53dec6e9-e53e-4b71-87a5-750a82c87b02</x:v>
      </x:c>
      <x:c r="B159" t="str">
        <x:v>박철홍정형외과</x:v>
      </x:c>
      <x:c r="C159" t="str">
        <x:v>이가연</x:v>
      </x:c>
      <x:c r="D159" t="str">
        <x:v>연차 (1.0)</x:v>
      </x:c>
      <x:c r="E159" s="47" t="n">
        <x:v>46200</x:v>
      </x:c>
      <x:c r="F159" s="47" t="n">
        <x:v>46200</x:v>
      </x:c>
      <x:c r="G159" s="56"/>
      <x:c r="H159" t="str">
        <x:v>승인</x:v>
      </x:c>
      <x:c r="I159" t="str">
        <x:v>개인사정으로 인하여 연차신청합니다.
감사합니다.</x:v>
      </x:c>
      <x:c r="J159" s="56" t="n">
        <x:f>IF(OR(ISNUMBER(SEARCH("반차",D159)),ISNUMBER(SEARCH("0.5",D159))),IF(G159&gt;0,G159,0.5),IF(AND(ISNUMBER(SEARCH("연차",D159)),NOT(ISNUMBER(SEARCH("부여",D159)))),IF(G159&lt;&gt;"",G159,MAX(1,F159-E159+1)),0))</x:f>
        <x:v>1</x:v>
      </x:c>
      <x:c r="K159" s="58" t="n">
        <x:v>46189</x:v>
      </x:c>
    </x:row>
    <x:row r="160">
      <x:c r="A160" t="str">
        <x:v>53dec6e9-e53e-4b71-87a5-750a82c87b02</x:v>
      </x:c>
      <x:c r="B160" t="str">
        <x:v>박철홍정형외과</x:v>
      </x:c>
      <x:c r="C160" t="str">
        <x:v>이가연</x:v>
      </x:c>
      <x:c r="D160" t="str">
        <x:v>연차</x:v>
      </x:c>
      <x:c r="E160" s="47" t="n">
        <x:v>46229</x:v>
      </x:c>
      <x:c r="F160" s="47" t="n">
        <x:v>46229</x:v>
      </x:c>
      <x:c r="G160" s="56" t="n">
        <x:v>1</x:v>
      </x:c>
      <x:c r="H160" t="str">
        <x:v>승인</x:v>
      </x:c>
      <x:c r="I160" t="str">
        <x:v>개인 사유로 인하여 연차 신청하겠습니다.</x:v>
      </x:c>
      <x:c r="J160" s="56" t="n">
        <x:f>IF(OR(ISNUMBER(SEARCH("반차",D160)),ISNUMBER(SEARCH("0.5",D160))),IF(G160&gt;0,G160,0.5),IF(AND(ISNUMBER(SEARCH("연차",D160)),NOT(ISNUMBER(SEARCH("부여",D160)))),IF(G160&lt;&gt;"",G160,MAX(1,F160-E160+1)),0))</x:f>
        <x:v>1</x:v>
      </x:c>
      <x:c r="K160" s="58" t="n">
        <x:v>46223</x:v>
      </x:c>
    </x:row>
    <x:row r="161">
      <x:c r="A161" t="str">
        <x:v>ec518989-06ae-4511-a634-28cdd24c9d2f</x:v>
      </x:c>
      <x:c r="B161" t="str">
        <x:v>박철홍정형외과</x:v>
      </x:c>
      <x:c r="C161" t="str">
        <x:v>이대성</x:v>
      </x:c>
      <x:c r="D161" t="str">
        <x:v>연차(과거사용)</x:v>
      </x:c>
      <x:c r="E161" s="47" t="n">
        <x:v>46080</x:v>
      </x:c>
      <x:c r="F161" s="47" t="n">
        <x:v>46080</x:v>
      </x:c>
      <x:c r="G161" s="56" t="n">
        <x:v>1</x:v>
      </x:c>
      <x:c r="H161" t="str">
        <x:v>승인</x:v>
      </x:c>
      <x:c r="I161" t="str">
        <x:v>기사용</x:v>
      </x:c>
      <x:c r="J161" s="56" t="n">
        <x:f>IF(OR(ISNUMBER(SEARCH("반차",D161)),ISNUMBER(SEARCH("0.5",D161))),IF(G161&gt;0,G161,0.5),IF(AND(ISNUMBER(SEARCH("연차",D161)),NOT(ISNUMBER(SEARCH("부여",D161)))),IF(G161&lt;&gt;"",G161,MAX(1,F161-E161+1)),0))</x:f>
        <x:v>1</x:v>
      </x:c>
      <x:c r="K161" s="58" t="n">
        <x:v>46199</x:v>
      </x:c>
    </x:row>
    <x:row r="162">
      <x:c r="A162" t="str">
        <x:v>ec518989-06ae-4511-a634-28cdd24c9d2f</x:v>
      </x:c>
      <x:c r="B162" t="str">
        <x:v>박철홍정형외과</x:v>
      </x:c>
      <x:c r="C162" t="str">
        <x:v>이대성</x:v>
      </x:c>
      <x:c r="D162" t="str">
        <x:v>연차 (1.0)</x:v>
      </x:c>
      <x:c r="E162" s="47" t="n">
        <x:v>46122</x:v>
      </x:c>
      <x:c r="F162" s="47" t="n">
        <x:v>46122</x:v>
      </x:c>
      <x:c r="G162" s="56"/>
      <x:c r="H162" t="str">
        <x:v>승인</x:v>
      </x:c>
      <x:c r="I162" t="str">
        <x:v>4월10일 연차신청건
아이디 수정이 안되서
아이디 변경으로 다시 올립니다</x:v>
      </x:c>
      <x:c r="J162" s="56" t="n">
        <x:f>IF(OR(ISNUMBER(SEARCH("반차",D162)),ISNUMBER(SEARCH("0.5",D162))),IF(G162&gt;0,G162,0.5),IF(AND(ISNUMBER(SEARCH("연차",D162)),NOT(ISNUMBER(SEARCH("부여",D162)))),IF(G162&lt;&gt;"",G162,MAX(1,F162-E162+1)),0))</x:f>
        <x:v>1</x:v>
      </x:c>
      <x:c r="K162" s="58" t="n">
        <x:v>46129</x:v>
      </x:c>
    </x:row>
    <x:row r="163">
      <x:c r="A163" t="str">
        <x:v>ec518989-06ae-4511-a634-28cdd24c9d2f</x:v>
      </x:c>
      <x:c r="B163" t="str">
        <x:v>박철홍정형외과</x:v>
      </x:c>
      <x:c r="C163" t="str">
        <x:v>이대성</x:v>
      </x:c>
      <x:c r="D163" t="str">
        <x:v>연차 (1.0)</x:v>
      </x:c>
      <x:c r="E163" s="47" t="n">
        <x:v>46153</x:v>
      </x:c>
      <x:c r="F163" s="47" t="n">
        <x:v>46153</x:v>
      </x:c>
      <x:c r="G163" s="56"/>
      <x:c r="H163" t="str">
        <x:v>승인</x:v>
      </x:c>
      <x:c r="I163" t="str">
        <x:v>개인사유로
5월19일에 발생하는 연차 당겨서 쓰겠습니다</x:v>
      </x:c>
      <x:c r="J163" s="56" t="n">
        <x:f>IF(OR(ISNUMBER(SEARCH("반차",D163)),ISNUMBER(SEARCH("0.5",D163))),IF(G163&gt;0,G163,0.5),IF(AND(ISNUMBER(SEARCH("연차",D163)),NOT(ISNUMBER(SEARCH("부여",D163)))),IF(G163&lt;&gt;"",G163,MAX(1,F163-E163+1)),0))</x:f>
        <x:v>1</x:v>
      </x:c>
      <x:c r="K163" s="58" t="n">
        <x:v>46148</x:v>
      </x:c>
    </x:row>
    <x:row r="164">
      <x:c r="A164" t="str">
        <x:v>ec518989-06ae-4511-a634-28cdd24c9d2f</x:v>
      </x:c>
      <x:c r="B164" t="str">
        <x:v>박철홍정형외과</x:v>
      </x:c>
      <x:c r="C164" t="str">
        <x:v>이대성</x:v>
      </x:c>
      <x:c r="D164" t="str">
        <x:v>연차</x:v>
      </x:c>
      <x:c r="E164" s="47" t="n">
        <x:v>46237</x:v>
      </x:c>
      <x:c r="F164" s="47" t="n">
        <x:v>46237</x:v>
      </x:c>
      <x:c r="G164" s="56" t="n">
        <x:v>1</x:v>
      </x:c>
      <x:c r="H164" t="str">
        <x:v>승인</x:v>
      </x:c>
      <x:c r="I164" t="str">
        <x:v>가족여행</x:v>
      </x:c>
      <x:c r="J164" s="56" t="n">
        <x:f>IF(OR(ISNUMBER(SEARCH("반차",D164)),ISNUMBER(SEARCH("0.5",D164))),IF(G164&gt;0,G164,0.5),IF(AND(ISNUMBER(SEARCH("연차",D164)),NOT(ISNUMBER(SEARCH("부여",D164)))),IF(G164&lt;&gt;"",G164,MAX(1,F164-E164+1)),0))</x:f>
        <x:v>1</x:v>
      </x:c>
      <x:c r="K164" s="58" t="n">
        <x:v>46226</x:v>
      </x:c>
    </x:row>
    <x:row r="165">
      <x:c r="A165" t="str">
        <x:v>e96c1d3f-6871-4ae0-a030-73f5e54136a9</x:v>
      </x:c>
      <x:c r="B165" t="str">
        <x:v>박철홍정형외과</x:v>
      </x:c>
      <x:c r="C165" t="str">
        <x:v>이승현</x:v>
      </x:c>
      <x:c r="D165" t="str">
        <x:v>연차</x:v>
      </x:c>
      <x:c r="E165" s="47" t="n">
        <x:v>45929</x:v>
      </x:c>
      <x:c r="F165" s="47" t="n">
        <x:v>45929</x:v>
      </x:c>
      <x:c r="G165" s="56"/>
      <x:c r="H165" t="str">
        <x:v>승인</x:v>
      </x:c>
      <x:c r="I165" t="str">
        <x:v>연차관리대장 일괄 반영(2026-05-14)</x:v>
      </x:c>
      <x:c r="J165" s="56" t="n">
        <x:f>IF(OR(ISNUMBER(SEARCH("반차",D165)),ISNUMBER(SEARCH("0.5",D165))),IF(G165&gt;0,G165,0.5),IF(AND(ISNUMBER(SEARCH("연차",D165)),NOT(ISNUMBER(SEARCH("부여",D165)))),IF(G165&lt;&gt;"",G165,MAX(1,F165-E165+1)),0))</x:f>
        <x:v>1</x:v>
      </x:c>
      <x:c r="K165" s="58" t="n">
        <x:v>46156</x:v>
      </x:c>
    </x:row>
    <x:row r="166">
      <x:c r="A166" t="str">
        <x:v>e96c1d3f-6871-4ae0-a030-73f5e54136a9</x:v>
      </x:c>
      <x:c r="B166" t="str">
        <x:v>박철홍정형외과</x:v>
      </x:c>
      <x:c r="C166" t="str">
        <x:v>이승현</x:v>
      </x:c>
      <x:c r="D166" t="str">
        <x:v>연차</x:v>
      </x:c>
      <x:c r="E166" s="47" t="n">
        <x:v>45952</x:v>
      </x:c>
      <x:c r="F166" s="47" t="n">
        <x:v>45952</x:v>
      </x:c>
      <x:c r="G166" s="56"/>
      <x:c r="H166" t="str">
        <x:v>승인</x:v>
      </x:c>
      <x:c r="I166" t="str">
        <x:v>연차관리대장 일괄 반영(2026-05-14)</x:v>
      </x:c>
      <x:c r="J166" s="56" t="n">
        <x:f>IF(OR(ISNUMBER(SEARCH("반차",D166)),ISNUMBER(SEARCH("0.5",D166))),IF(G166&gt;0,G166,0.5),IF(AND(ISNUMBER(SEARCH("연차",D166)),NOT(ISNUMBER(SEARCH("부여",D166)))),IF(G166&lt;&gt;"",G166,MAX(1,F166-E166+1)),0))</x:f>
        <x:v>1</x:v>
      </x:c>
      <x:c r="K166" s="58" t="n">
        <x:v>46156</x:v>
      </x:c>
    </x:row>
    <x:row r="167">
      <x:c r="A167" t="str">
        <x:v>e96c1d3f-6871-4ae0-a030-73f5e54136a9</x:v>
      </x:c>
      <x:c r="B167" t="str">
        <x:v>박철홍정형외과</x:v>
      </x:c>
      <x:c r="C167" t="str">
        <x:v>이승현</x:v>
      </x:c>
      <x:c r="D167" t="str">
        <x:v>연차</x:v>
      </x:c>
      <x:c r="E167" s="47" t="n">
        <x:v>46010</x:v>
      </x:c>
      <x:c r="F167" s="47" t="n">
        <x:v>46010</x:v>
      </x:c>
      <x:c r="G167" s="56"/>
      <x:c r="H167" t="str">
        <x:v>승인</x:v>
      </x:c>
      <x:c r="I167" t="str">
        <x:v>연차관리대장 일괄 반영(2026-05-14)</x:v>
      </x:c>
      <x:c r="J167" s="56" t="n">
        <x:f>IF(OR(ISNUMBER(SEARCH("반차",D167)),ISNUMBER(SEARCH("0.5",D167))),IF(G167&gt;0,G167,0.5),IF(AND(ISNUMBER(SEARCH("연차",D167)),NOT(ISNUMBER(SEARCH("부여",D167)))),IF(G167&lt;&gt;"",G167,MAX(1,F167-E167+1)),0))</x:f>
        <x:v>1</x:v>
      </x:c>
      <x:c r="K167" s="58" t="n">
        <x:v>46156</x:v>
      </x:c>
    </x:row>
    <x:row r="168">
      <x:c r="A168" t="str">
        <x:v>e96c1d3f-6871-4ae0-a030-73f5e54136a9</x:v>
      </x:c>
      <x:c r="B168" t="str">
        <x:v>박철홍정형외과</x:v>
      </x:c>
      <x:c r="C168" t="str">
        <x:v>이승현</x:v>
      </x:c>
      <x:c r="D168" t="str">
        <x:v>연차</x:v>
      </x:c>
      <x:c r="E168" s="47" t="n">
        <x:v>46039</x:v>
      </x:c>
      <x:c r="F168" s="47" t="n">
        <x:v>46039</x:v>
      </x:c>
      <x:c r="G168" s="56"/>
      <x:c r="H168" t="str">
        <x:v>승인</x:v>
      </x:c>
      <x:c r="I168" t="str">
        <x:v>연차관리대장 일괄 반영(2026-05-14)</x:v>
      </x:c>
      <x:c r="J168" s="56" t="n">
        <x:f>IF(OR(ISNUMBER(SEARCH("반차",D168)),ISNUMBER(SEARCH("0.5",D168))),IF(G168&gt;0,G168,0.5),IF(AND(ISNUMBER(SEARCH("연차",D168)),NOT(ISNUMBER(SEARCH("부여",D168)))),IF(G168&lt;&gt;"",G168,MAX(1,F168-E168+1)),0))</x:f>
        <x:v>1</x:v>
      </x:c>
      <x:c r="K168" s="58" t="n">
        <x:v>46156</x:v>
      </x:c>
    </x:row>
    <x:row r="169">
      <x:c r="A169" t="str">
        <x:v>e96c1d3f-6871-4ae0-a030-73f5e54136a9</x:v>
      </x:c>
      <x:c r="B169" t="str">
        <x:v>박철홍정형외과</x:v>
      </x:c>
      <x:c r="C169" t="str">
        <x:v>이승현</x:v>
      </x:c>
      <x:c r="D169" t="str">
        <x:v>연차</x:v>
      </x:c>
      <x:c r="E169" s="47" t="n">
        <x:v>46081</x:v>
      </x:c>
      <x:c r="F169" s="47" t="n">
        <x:v>46081</x:v>
      </x:c>
      <x:c r="G169" s="56"/>
      <x:c r="H169" t="str">
        <x:v>승인</x:v>
      </x:c>
      <x:c r="I169" t="str">
        <x:v>연차관리대장 일괄 반영(2026-05-14)</x:v>
      </x:c>
      <x:c r="J169" s="56" t="n">
        <x:f>IF(OR(ISNUMBER(SEARCH("반차",D169)),ISNUMBER(SEARCH("0.5",D169))),IF(G169&gt;0,G169,0.5),IF(AND(ISNUMBER(SEARCH("연차",D169)),NOT(ISNUMBER(SEARCH("부여",D169)))),IF(G169&lt;&gt;"",G169,MAX(1,F169-E169+1)),0))</x:f>
        <x:v>1</x:v>
      </x:c>
      <x:c r="K169" s="58" t="n">
        <x:v>46156</x:v>
      </x:c>
    </x:row>
    <x:row r="170">
      <x:c r="A170" t="str">
        <x:v>e96c1d3f-6871-4ae0-a030-73f5e54136a9</x:v>
      </x:c>
      <x:c r="B170" t="str">
        <x:v>박철홍정형외과</x:v>
      </x:c>
      <x:c r="C170" t="str">
        <x:v>이승현</x:v>
      </x:c>
      <x:c r="D170" t="str">
        <x:v>연차</x:v>
      </x:c>
      <x:c r="E170" s="47" t="n">
        <x:v>46096</x:v>
      </x:c>
      <x:c r="F170" s="47" t="n">
        <x:v>46096</x:v>
      </x:c>
      <x:c r="G170" s="56"/>
      <x:c r="H170" t="str">
        <x:v>승인</x:v>
      </x:c>
      <x:c r="I170" t="str">
        <x:v>연차관리대장 일괄 반영(2026-05-14)</x:v>
      </x:c>
      <x:c r="J170" s="56" t="n">
        <x:f>IF(OR(ISNUMBER(SEARCH("반차",D170)),ISNUMBER(SEARCH("0.5",D170))),IF(G170&gt;0,G170,0.5),IF(AND(ISNUMBER(SEARCH("연차",D170)),NOT(ISNUMBER(SEARCH("부여",D170)))),IF(G170&lt;&gt;"",G170,MAX(1,F170-E170+1)),0))</x:f>
        <x:v>1</x:v>
      </x:c>
      <x:c r="K170" s="58" t="n">
        <x:v>46156</x:v>
      </x:c>
    </x:row>
    <x:row r="171">
      <x:c r="A171" t="str">
        <x:v>e96c1d3f-6871-4ae0-a030-73f5e54136a9</x:v>
      </x:c>
      <x:c r="B171" t="str">
        <x:v>박철홍정형외과</x:v>
      </x:c>
      <x:c r="C171" t="str">
        <x:v>이승현</x:v>
      </x:c>
      <x:c r="D171" t="str">
        <x:v>연차 (1.0)</x:v>
      </x:c>
      <x:c r="E171" s="47" t="n">
        <x:v>46140</x:v>
      </x:c>
      <x:c r="F171" s="47" t="n">
        <x:v>46140</x:v>
      </x:c>
      <x:c r="G171" s="56"/>
      <x:c r="H171" t="str">
        <x:v>승인</x:v>
      </x:c>
      <x:c r="I171" t="str">
        <x:v>연차</x:v>
      </x:c>
      <x:c r="J171" s="56" t="n">
        <x:f>IF(OR(ISNUMBER(SEARCH("반차",D171)),ISNUMBER(SEARCH("0.5",D171))),IF(G171&gt;0,G171,0.5),IF(AND(ISNUMBER(SEARCH("연차",D171)),NOT(ISNUMBER(SEARCH("부여",D171)))),IF(G171&lt;&gt;"",G171,MAX(1,F171-E171+1)),0))</x:f>
        <x:v>1</x:v>
      </x:c>
      <x:c r="K171" s="58" t="n">
        <x:v>46129</x:v>
      </x:c>
    </x:row>
    <x:row r="172">
      <x:c r="A172" t="str">
        <x:v>e96c1d3f-6871-4ae0-a030-73f5e54136a9</x:v>
      </x:c>
      <x:c r="B172" t="str">
        <x:v>박철홍정형외과</x:v>
      </x:c>
      <x:c r="C172" t="str">
        <x:v>이승현</x:v>
      </x:c>
      <x:c r="D172" t="str">
        <x:v>연차(과거사용)</x:v>
      </x:c>
      <x:c r="E172" s="47" t="n">
        <x:v>46173</x:v>
      </x:c>
      <x:c r="F172" s="47" t="n">
        <x:v>46173</x:v>
      </x:c>
      <x:c r="G172" s="56" t="n">
        <x:v>1</x:v>
      </x:c>
      <x:c r="H172" t="str">
        <x:v>승인</x:v>
      </x:c>
      <x:c r="I172" t="str">
        <x:v>기사용</x:v>
      </x:c>
      <x:c r="J172" s="56" t="n">
        <x:f>IF(OR(ISNUMBER(SEARCH("반차",D172)),ISNUMBER(SEARCH("0.5",D172))),IF(G172&gt;0,G172,0.5),IF(AND(ISNUMBER(SEARCH("연차",D172)),NOT(ISNUMBER(SEARCH("부여",D172)))),IF(G172&lt;&gt;"",G172,MAX(1,F172-E172+1)),0))</x:f>
        <x:v>1</x:v>
      </x:c>
      <x:c r="K172" s="58" t="n">
        <x:v>46199</x:v>
      </x:c>
    </x:row>
    <x:row r="173">
      <x:c r="A173" t="str">
        <x:v>e96c1d3f-6871-4ae0-a030-73f5e54136a9</x:v>
      </x:c>
      <x:c r="B173" t="str">
        <x:v>박철홍정형외과</x:v>
      </x:c>
      <x:c r="C173" t="str">
        <x:v>이승현</x:v>
      </x:c>
      <x:c r="D173" t="str">
        <x:v>연차 (1.0)</x:v>
      </x:c>
      <x:c r="E173" s="47" t="n">
        <x:v>46185</x:v>
      </x:c>
      <x:c r="F173" s="47" t="n">
        <x:v>46185</x:v>
      </x:c>
      <x:c r="G173" s="56"/>
      <x:c r="H173" t="str">
        <x:v>승인</x:v>
      </x:c>
      <x:c r="I173" t="str">
        <x:v>개인연차사용</x:v>
      </x:c>
      <x:c r="J173" s="56" t="n">
        <x:f>IF(OR(ISNUMBER(SEARCH("반차",D173)),ISNUMBER(SEARCH("0.5",D173))),IF(G173&gt;0,G173,0.5),IF(AND(ISNUMBER(SEARCH("연차",D173)),NOT(ISNUMBER(SEARCH("부여",D173)))),IF(G173&lt;&gt;"",G173,MAX(1,F173-E173+1)),0))</x:f>
        <x:v>1</x:v>
      </x:c>
      <x:c r="K173" s="58" t="n">
        <x:v>46178</x:v>
      </x:c>
    </x:row>
    <x:row r="174">
      <x:c r="A174" t="str">
        <x:v>33216f24-2468-4eee-80d1-e51b30249654</x:v>
      </x:c>
      <x:c r="B174" t="str">
        <x:v>박철홍정형외과</x:v>
      </x:c>
      <x:c r="C174" t="str">
        <x:v>이지현</x:v>
      </x:c>
      <x:c r="D174" t="str">
        <x:v>연차</x:v>
      </x:c>
      <x:c r="E174" s="47" t="n">
        <x:v>45935</x:v>
      </x:c>
      <x:c r="F174" s="47" t="n">
        <x:v>45935</x:v>
      </x:c>
      <x:c r="G174" s="56"/>
      <x:c r="H174" t="str">
        <x:v>승인</x:v>
      </x:c>
      <x:c r="I174" t="str">
        <x:v>연차관리대장 일괄 반영(2026-05-14)</x:v>
      </x:c>
      <x:c r="J174" s="56" t="n">
        <x:f>IF(OR(ISNUMBER(SEARCH("반차",D174)),ISNUMBER(SEARCH("0.5",D174))),IF(G174&gt;0,G174,0.5),IF(AND(ISNUMBER(SEARCH("연차",D174)),NOT(ISNUMBER(SEARCH("부여",D174)))),IF(G174&lt;&gt;"",G174,MAX(1,F174-E174+1)),0))</x:f>
        <x:v>1</x:v>
      </x:c>
      <x:c r="K174" s="58" t="n">
        <x:v>46156</x:v>
      </x:c>
    </x:row>
    <x:row r="175">
      <x:c r="A175" t="str">
        <x:v>33216f24-2468-4eee-80d1-e51b30249654</x:v>
      </x:c>
      <x:c r="B175" t="str">
        <x:v>박철홍정형외과</x:v>
      </x:c>
      <x:c r="C175" t="str">
        <x:v>이지현</x:v>
      </x:c>
      <x:c r="D175" t="str">
        <x:v>연차</x:v>
      </x:c>
      <x:c r="E175" s="47" t="n">
        <x:v>45998</x:v>
      </x:c>
      <x:c r="F175" s="47" t="n">
        <x:v>45998</x:v>
      </x:c>
      <x:c r="G175" s="56"/>
      <x:c r="H175" t="str">
        <x:v>승인</x:v>
      </x:c>
      <x:c r="I175" t="str">
        <x:v>연차관리대장 일괄 반영(2026-05-14)</x:v>
      </x:c>
      <x:c r="J175" s="56" t="n">
        <x:f>IF(OR(ISNUMBER(SEARCH("반차",D175)),ISNUMBER(SEARCH("0.5",D175))),IF(G175&gt;0,G175,0.5),IF(AND(ISNUMBER(SEARCH("연차",D175)),NOT(ISNUMBER(SEARCH("부여",D175)))),IF(G175&lt;&gt;"",G175,MAX(1,F175-E175+1)),0))</x:f>
        <x:v>1</x:v>
      </x:c>
      <x:c r="K175" s="58" t="n">
        <x:v>46156</x:v>
      </x:c>
    </x:row>
    <x:row r="176">
      <x:c r="A176" t="str">
        <x:v>33216f24-2468-4eee-80d1-e51b30249654</x:v>
      </x:c>
      <x:c r="B176" t="str">
        <x:v>박철홍정형외과</x:v>
      </x:c>
      <x:c r="C176" t="str">
        <x:v>이지현</x:v>
      </x:c>
      <x:c r="D176" t="str">
        <x:v>연차</x:v>
      </x:c>
      <x:c r="E176" s="47" t="n">
        <x:v>46111</x:v>
      </x:c>
      <x:c r="F176" s="47" t="n">
        <x:v>46111</x:v>
      </x:c>
      <x:c r="G176" s="56"/>
      <x:c r="H176" t="str">
        <x:v>승인</x:v>
      </x:c>
      <x:c r="I176" t="str">
        <x:v>연차관리대장 일괄 반영(2026-05-14)</x:v>
      </x:c>
      <x:c r="J176" s="56" t="n">
        <x:f>IF(OR(ISNUMBER(SEARCH("반차",D176)),ISNUMBER(SEARCH("0.5",D176))),IF(G176&gt;0,G176,0.5),IF(AND(ISNUMBER(SEARCH("연차",D176)),NOT(ISNUMBER(SEARCH("부여",D176)))),IF(G176&lt;&gt;"",G176,MAX(1,F176-E176+1)),0))</x:f>
        <x:v>1</x:v>
      </x:c>
      <x:c r="K176" s="58" t="n">
        <x:v>46156</x:v>
      </x:c>
    </x:row>
    <x:row r="177">
      <x:c r="A177" t="str">
        <x:v>33216f24-2468-4eee-80d1-e51b30249654</x:v>
      </x:c>
      <x:c r="B177" t="str">
        <x:v>박철홍정형외과</x:v>
      </x:c>
      <x:c r="C177" t="str">
        <x:v>이지현</x:v>
      </x:c>
      <x:c r="D177" t="str">
        <x:v>연차</x:v>
      </x:c>
      <x:c r="E177" s="47" t="n">
        <x:v>46112</x:v>
      </x:c>
      <x:c r="F177" s="47" t="n">
        <x:v>46112</x:v>
      </x:c>
      <x:c r="G177" s="56"/>
      <x:c r="H177" t="str">
        <x:v>승인</x:v>
      </x:c>
      <x:c r="I177" t="str">
        <x:v>연차관리대장 일괄 반영(2026-05-14)</x:v>
      </x:c>
      <x:c r="J177" s="56" t="n">
        <x:f>IF(OR(ISNUMBER(SEARCH("반차",D177)),ISNUMBER(SEARCH("0.5",D177))),IF(G177&gt;0,G177,0.5),IF(AND(ISNUMBER(SEARCH("연차",D177)),NOT(ISNUMBER(SEARCH("부여",D177)))),IF(G177&lt;&gt;"",G177,MAX(1,F177-E177+1)),0))</x:f>
        <x:v>1</x:v>
      </x:c>
      <x:c r="K177" s="58" t="n">
        <x:v>46156</x:v>
      </x:c>
    </x:row>
    <x:row r="178">
      <x:c r="A178" t="str">
        <x:v>33216f24-2468-4eee-80d1-e51b30249654</x:v>
      </x:c>
      <x:c r="B178" t="str">
        <x:v>박철홍정형외과</x:v>
      </x:c>
      <x:c r="C178" t="str">
        <x:v>이지현</x:v>
      </x:c>
      <x:c r="D178" t="str">
        <x:v>연차 (1.0)</x:v>
      </x:c>
      <x:c r="E178" s="47" t="n">
        <x:v>46124</x:v>
      </x:c>
      <x:c r="F178" s="47" t="n">
        <x:v>46124</x:v>
      </x:c>
      <x:c r="G178" s="56"/>
      <x:c r="H178" t="str">
        <x:v>승인</x:v>
      </x:c>
      <x:c r="I178" t="str">
        <x:v>개인사정</x:v>
      </x:c>
      <x:c r="J178" s="56" t="n">
        <x:f>IF(OR(ISNUMBER(SEARCH("반차",D178)),ISNUMBER(SEARCH("0.5",D178))),IF(G178&gt;0,G178,0.5),IF(AND(ISNUMBER(SEARCH("연차",D178)),NOT(ISNUMBER(SEARCH("부여",D178)))),IF(G178&lt;&gt;"",G178,MAX(1,F178-E178+1)),0))</x:f>
        <x:v>1</x:v>
      </x:c>
      <x:c r="K178" s="58" t="n">
        <x:v>46119</x:v>
      </x:c>
    </x:row>
    <x:row r="179">
      <x:c r="A179" t="str">
        <x:v>33216f24-2468-4eee-80d1-e51b30249654</x:v>
      </x:c>
      <x:c r="B179" t="str">
        <x:v>박철홍정형외과</x:v>
      </x:c>
      <x:c r="C179" t="str">
        <x:v>이지현</x:v>
      </x:c>
      <x:c r="D179" t="str">
        <x:v>연차 (1.0)</x:v>
      </x:c>
      <x:c r="E179" s="47" t="n">
        <x:v>46173</x:v>
      </x:c>
      <x:c r="F179" s="47" t="n">
        <x:v>46173</x:v>
      </x:c>
      <x:c r="G179" s="56"/>
      <x:c r="H179" t="str">
        <x:v>승인</x:v>
      </x:c>
      <x:c r="I179" t="str">
        <x:v>개인사정</x:v>
      </x:c>
      <x:c r="J179" s="56" t="n">
        <x:f>IF(OR(ISNUMBER(SEARCH("반차",D179)),ISNUMBER(SEARCH("0.5",D179))),IF(G179&gt;0,G179,0.5),IF(AND(ISNUMBER(SEARCH("연차",D179)),NOT(ISNUMBER(SEARCH("부여",D179)))),IF(G179&lt;&gt;"",G179,MAX(1,F179-E179+1)),0))</x:f>
        <x:v>1</x:v>
      </x:c>
      <x:c r="K179" s="58" t="n">
        <x:v>46148</x:v>
      </x:c>
    </x:row>
    <x:row r="180">
      <x:c r="A180" t="str">
        <x:v>33216f24-2468-4eee-80d1-e51b30249654</x:v>
      </x:c>
      <x:c r="B180" t="str">
        <x:v>박철홍정형외과</x:v>
      </x:c>
      <x:c r="C180" t="str">
        <x:v>이지현</x:v>
      </x:c>
      <x:c r="D180" t="str">
        <x:v>연차 (1.0)</x:v>
      </x:c>
      <x:c r="E180" s="47" t="n">
        <x:v>46194</x:v>
      </x:c>
      <x:c r="F180" s="47" t="n">
        <x:v>46194</x:v>
      </x:c>
      <x:c r="G180" s="56"/>
      <x:c r="H180" t="str">
        <x:v>승인</x:v>
      </x:c>
      <x:c r="I180" t="str">
        <x:v>개인사유</x:v>
      </x:c>
      <x:c r="J180" s="56" t="n">
        <x:f>IF(OR(ISNUMBER(SEARCH("반차",D180)),ISNUMBER(SEARCH("0.5",D180))),IF(G180&gt;0,G180,0.5),IF(AND(ISNUMBER(SEARCH("연차",D180)),NOT(ISNUMBER(SEARCH("부여",D180)))),IF(G180&lt;&gt;"",G180,MAX(1,F180-E180+1)),0))</x:f>
        <x:v>1</x:v>
      </x:c>
      <x:c r="K180" s="58" t="n">
        <x:v>46178</x:v>
      </x:c>
    </x:row>
    <x:row r="181">
      <x:c r="A181" t="str">
        <x:v>33216f24-2468-4eee-80d1-e51b30249654</x:v>
      </x:c>
      <x:c r="B181" t="str">
        <x:v>박철홍정형외과</x:v>
      </x:c>
      <x:c r="C181" t="str">
        <x:v>이지현</x:v>
      </x:c>
      <x:c r="D181" t="str">
        <x:v>연차</x:v>
      </x:c>
      <x:c r="E181" s="47" t="n">
        <x:v>46227</x:v>
      </x:c>
      <x:c r="F181" s="47" t="n">
        <x:v>46227</x:v>
      </x:c>
      <x:c r="G181" s="56" t="n">
        <x:v>1</x:v>
      </x:c>
      <x:c r="H181" t="str">
        <x:v>승인</x:v>
      </x:c>
      <x:c r="I181" t="str">
        <x:v>개인사정</x:v>
      </x:c>
      <x:c r="J181" s="56" t="n">
        <x:f>IF(OR(ISNUMBER(SEARCH("반차",D181)),ISNUMBER(SEARCH("0.5",D181))),IF(G181&gt;0,G181,0.5),IF(AND(ISNUMBER(SEARCH("연차",D181)),NOT(ISNUMBER(SEARCH("부여",D181)))),IF(G181&lt;&gt;"",G181,MAX(1,F181-E181+1)),0))</x:f>
        <x:v>1</x:v>
      </x:c>
      <x:c r="K181" s="58" t="n">
        <x:v>46225</x:v>
      </x:c>
    </x:row>
    <x:row r="182">
      <x:c r="A182" t="str">
        <x:v>3f40505f-cac8-40c6-bb1d-1cec09e13729</x:v>
      </x:c>
      <x:c r="B182" t="str">
        <x:v>박철홍정형외과</x:v>
      </x:c>
      <x:c r="C182" t="str">
        <x:v>정가영</x:v>
      </x:c>
      <x:c r="D182" t="str">
        <x:v>연차</x:v>
      </x:c>
      <x:c r="E182" s="47" t="n">
        <x:v>46022</x:v>
      </x:c>
      <x:c r="F182" s="47" t="n">
        <x:v>46022</x:v>
      </x:c>
      <x:c r="G182" s="56"/>
      <x:c r="H182" t="str">
        <x:v>승인</x:v>
      </x:c>
      <x:c r="I182" t="str">
        <x:v>연차관리대장 일괄 반영(2026-05-14)</x:v>
      </x:c>
      <x:c r="J182" s="56" t="n">
        <x:f>IF(OR(ISNUMBER(SEARCH("반차",D182)),ISNUMBER(SEARCH("0.5",D182))),IF(G182&gt;0,G182,0.5),IF(AND(ISNUMBER(SEARCH("연차",D182)),NOT(ISNUMBER(SEARCH("부여",D182)))),IF(G182&lt;&gt;"",G182,MAX(1,F182-E182+1)),0))</x:f>
        <x:v>1</x:v>
      </x:c>
      <x:c r="K182" s="58" t="n">
        <x:v>46156</x:v>
      </x:c>
    </x:row>
    <x:row r="183">
      <x:c r="A183" t="str">
        <x:v>3f40505f-cac8-40c6-bb1d-1cec09e13729</x:v>
      </x:c>
      <x:c r="B183" t="str">
        <x:v>박철홍정형외과</x:v>
      </x:c>
      <x:c r="C183" t="str">
        <x:v>정가영</x:v>
      </x:c>
      <x:c r="D183" t="str">
        <x:v>연차</x:v>
      </x:c>
      <x:c r="E183" s="47" t="n">
        <x:v>46052</x:v>
      </x:c>
      <x:c r="F183" s="47" t="n">
        <x:v>46052</x:v>
      </x:c>
      <x:c r="G183" s="56"/>
      <x:c r="H183" t="str">
        <x:v>승인</x:v>
      </x:c>
      <x:c r="I183" t="str">
        <x:v>연차관리대장 일괄 반영(2026-05-14)</x:v>
      </x:c>
      <x:c r="J183" s="56" t="n">
        <x:f>IF(OR(ISNUMBER(SEARCH("반차",D183)),ISNUMBER(SEARCH("0.5",D183))),IF(G183&gt;0,G183,0.5),IF(AND(ISNUMBER(SEARCH("연차",D183)),NOT(ISNUMBER(SEARCH("부여",D183)))),IF(G183&lt;&gt;"",G183,MAX(1,F183-E183+1)),0))</x:f>
        <x:v>1</x:v>
      </x:c>
      <x:c r="K183" s="58" t="n">
        <x:v>46156</x:v>
      </x:c>
    </x:row>
    <x:row r="184">
      <x:c r="A184" t="str">
        <x:v>3f40505f-cac8-40c6-bb1d-1cec09e13729</x:v>
      </x:c>
      <x:c r="B184" t="str">
        <x:v>박철홍정형외과</x:v>
      </x:c>
      <x:c r="C184" t="str">
        <x:v>정가영</x:v>
      </x:c>
      <x:c r="D184" t="str">
        <x:v>연차</x:v>
      </x:c>
      <x:c r="E184" s="47" t="n">
        <x:v>46111</x:v>
      </x:c>
      <x:c r="F184" s="47" t="n">
        <x:v>46111</x:v>
      </x:c>
      <x:c r="G184" s="56"/>
      <x:c r="H184" t="str">
        <x:v>승인</x:v>
      </x:c>
      <x:c r="I184" t="str">
        <x:v>연차관리대장 일괄 반영(2026-05-14)</x:v>
      </x:c>
      <x:c r="J184" s="56" t="n">
        <x:f>IF(OR(ISNUMBER(SEARCH("반차",D184)),ISNUMBER(SEARCH("0.5",D184))),IF(G184&gt;0,G184,0.5),IF(AND(ISNUMBER(SEARCH("연차",D184)),NOT(ISNUMBER(SEARCH("부여",D184)))),IF(G184&lt;&gt;"",G184,MAX(1,F184-E184+1)),0))</x:f>
        <x:v>1</x:v>
      </x:c>
      <x:c r="K184" s="58" t="n">
        <x:v>46156</x:v>
      </x:c>
    </x:row>
    <x:row r="185">
      <x:c r="A185" t="str">
        <x:v>3f40505f-cac8-40c6-bb1d-1cec09e13729</x:v>
      </x:c>
      <x:c r="B185" t="str">
        <x:v>박철홍정형외과</x:v>
      </x:c>
      <x:c r="C185" t="str">
        <x:v>정가영</x:v>
      </x:c>
      <x:c r="D185" t="str">
        <x:v>연차 (1.0)</x:v>
      </x:c>
      <x:c r="E185" s="47" t="n">
        <x:v>46132</x:v>
      </x:c>
      <x:c r="F185" s="47" t="n">
        <x:v>46132</x:v>
      </x:c>
      <x:c r="G185" s="56"/>
      <x:c r="H185" t="str">
        <x:v>승인</x:v>
      </x:c>
      <x:c r="I185" t="str">
        <x:v>개인사정</x:v>
      </x:c>
      <x:c r="J185" s="56" t="n">
        <x:f>IF(OR(ISNUMBER(SEARCH("반차",D185)),ISNUMBER(SEARCH("0.5",D185))),IF(G185&gt;0,G185,0.5),IF(AND(ISNUMBER(SEARCH("연차",D185)),NOT(ISNUMBER(SEARCH("부여",D185)))),IF(G185&lt;&gt;"",G185,MAX(1,F185-E185+1)),0))</x:f>
        <x:v>1</x:v>
      </x:c>
      <x:c r="K185" s="58" t="n">
        <x:v>46129</x:v>
      </x:c>
    </x:row>
    <x:row r="186">
      <x:c r="A186" t="str">
        <x:v>3f40505f-cac8-40c6-bb1d-1cec09e13729</x:v>
      </x:c>
      <x:c r="B186" t="str">
        <x:v>박철홍정형외과</x:v>
      </x:c>
      <x:c r="C186" t="str">
        <x:v>정가영</x:v>
      </x:c>
      <x:c r="D186" t="str">
        <x:v>연차 (1.0)</x:v>
      </x:c>
      <x:c r="E186" s="47" t="n">
        <x:v>46199</x:v>
      </x:c>
      <x:c r="F186" s="47" t="n">
        <x:v>46199</x:v>
      </x:c>
      <x:c r="G186" s="56"/>
      <x:c r="H186" t="str">
        <x:v>승인</x:v>
      </x:c>
      <x:c r="I186" t="str">
        <x:v>개인사정으로 6월 26일 연차신청합니다.</x:v>
      </x:c>
      <x:c r="J186" s="56" t="n">
        <x:f>IF(OR(ISNUMBER(SEARCH("반차",D186)),ISNUMBER(SEARCH("0.5",D186))),IF(G186&gt;0,G186,0.5),IF(AND(ISNUMBER(SEARCH("연차",D186)),NOT(ISNUMBER(SEARCH("부여",D186)))),IF(G186&lt;&gt;"",G186,MAX(1,F186-E186+1)),0))</x:f>
        <x:v>1</x:v>
      </x:c>
      <x:c r="K186" s="58" t="n">
        <x:v>46199</x:v>
      </x:c>
    </x:row>
    <x:row r="187">
      <x:c r="A187" t="str">
        <x:v>3f40505f-cac8-40c6-bb1d-1cec09e13729</x:v>
      </x:c>
      <x:c r="B187" t="str">
        <x:v>박철홍정형외과</x:v>
      </x:c>
      <x:c r="C187" t="str">
        <x:v>정가영</x:v>
      </x:c>
      <x:c r="D187" t="str">
        <x:v>연차 (1.0)</x:v>
      </x:c>
      <x:c r="E187" s="47" t="n">
        <x:v>46226</x:v>
      </x:c>
      <x:c r="F187" s="47" t="n">
        <x:v>46227</x:v>
      </x:c>
      <x:c r="G187" s="56" t="n">
        <x:v>2</x:v>
      </x:c>
      <x:c r="H187" t="str">
        <x:v>승인</x:v>
      </x:c>
      <x:c r="I187" t="str">
        <x:v>개인사정 (7/23, 7/24) 으로 2일 신청 합니다</x:v>
      </x:c>
      <x:c r="J187" s="56" t="n">
        <x:f>IF(OR(ISNUMBER(SEARCH("반차",D187)),ISNUMBER(SEARCH("0.5",D187))),IF(G187&gt;0,G187,0.5),IF(AND(ISNUMBER(SEARCH("연차",D187)),NOT(ISNUMBER(SEARCH("부여",D187)))),IF(G187&lt;&gt;"",G187,MAX(1,F187-E187+1)),0))</x:f>
        <x:v>2</x:v>
      </x:c>
      <x:c r="K187" s="58" t="n">
        <x:v>46218</x:v>
      </x:c>
    </x:row>
    <x:row r="188">
      <x:c r="A188" t="str">
        <x:v>204e0284-18b6-450e-ae91-5da0c053a655</x:v>
      </x:c>
      <x:c r="B188" t="str">
        <x:v>박철홍정형외과</x:v>
      </x:c>
      <x:c r="C188" t="str">
        <x:v>조숙현</x:v>
      </x:c>
      <x:c r="D188" t="str">
        <x:v>연차(과거사용)</x:v>
      </x:c>
      <x:c r="E188" s="47" t="n">
        <x:v>46174</x:v>
      </x:c>
      <x:c r="F188" s="47" t="n">
        <x:v>46188</x:v>
      </x:c>
      <x:c r="G188" s="56"/>
      <x:c r="H188" t="str">
        <x:v>승인</x:v>
      </x:c>
      <x:c r="I188" t="str"/>
      <x:c r="J188" s="56" t="n">
        <x:f>IF(OR(ISNUMBER(SEARCH("반차",D188)),ISNUMBER(SEARCH("0.5",D188))),IF(G188&gt;0,G188,0.5),IF(AND(ISNUMBER(SEARCH("연차",D188)),NOT(ISNUMBER(SEARCH("부여",D188)))),IF(G188&lt;&gt;"",G188,MAX(1,F188-E188+1)),0))</x:f>
        <x:v>15</x:v>
      </x:c>
      <x:c r="K188" s="58" t="n">
        <x:v>46199</x:v>
      </x:c>
    </x:row>
    <x:row r="189">
      <x:c r="A189" t="str">
        <x:v>1b0bda03-c325-40d1-bc06-5d7db1d0b2d5</x:v>
      </x:c>
      <x:c r="B189" t="str">
        <x:v>박철홍정형외과</x:v>
      </x:c>
      <x:c r="C189" t="str">
        <x:v>조현준</x:v>
      </x:c>
      <x:c r="D189" t="str">
        <x:v>연차(이력)</x:v>
      </x:c>
      <x:c r="E189" s="47" t="n">
        <x:v>45590</x:v>
      </x:c>
      <x:c r="F189" s="47" t="n">
        <x:v>45590</x:v>
      </x:c>
      <x:c r="G189" s="56"/>
      <x:c r="H189" t="str">
        <x:v>승인</x:v>
      </x:c>
      <x:c r="I189" t="str">
        <x:v>연차관리대장 일괄 반영(2026-05-14)</x:v>
      </x:c>
      <x:c r="J189" s="56" t="n">
        <x:f>IF(OR(ISNUMBER(SEARCH("반차",D189)),ISNUMBER(SEARCH("0.5",D189))),IF(G189&gt;0,G189,0.5),IF(AND(ISNUMBER(SEARCH("연차",D189)),NOT(ISNUMBER(SEARCH("부여",D189)))),IF(G189&lt;&gt;"",G189,MAX(1,F189-E189+1)),0))</x:f>
        <x:v>1</x:v>
      </x:c>
      <x:c r="K189" s="58" t="n">
        <x:v>46156</x:v>
      </x:c>
    </x:row>
    <x:row r="190">
      <x:c r="A190" t="str">
        <x:v>1b0bda03-c325-40d1-bc06-5d7db1d0b2d5</x:v>
      </x:c>
      <x:c r="B190" t="str">
        <x:v>박철홍정형외과</x:v>
      </x:c>
      <x:c r="C190" t="str">
        <x:v>조현준</x:v>
      </x:c>
      <x:c r="D190" t="str">
        <x:v>연차(이력)</x:v>
      </x:c>
      <x:c r="E190" s="47" t="n">
        <x:v>45591</x:v>
      </x:c>
      <x:c r="F190" s="47" t="n">
        <x:v>45591</x:v>
      </x:c>
      <x:c r="G190" s="56"/>
      <x:c r="H190" t="str">
        <x:v>승인</x:v>
      </x:c>
      <x:c r="I190" t="str">
        <x:v>연차관리대장 일괄 반영(2026-05-14)</x:v>
      </x:c>
      <x:c r="J190" s="56" t="n">
        <x:f>IF(OR(ISNUMBER(SEARCH("반차",D190)),ISNUMBER(SEARCH("0.5",D190))),IF(G190&gt;0,G190,0.5),IF(AND(ISNUMBER(SEARCH("연차",D190)),NOT(ISNUMBER(SEARCH("부여",D190)))),IF(G190&lt;&gt;"",G190,MAX(1,F190-E190+1)),0))</x:f>
        <x:v>1</x:v>
      </x:c>
      <x:c r="K190" s="58" t="n">
        <x:v>46156</x:v>
      </x:c>
    </x:row>
    <x:row r="191">
      <x:c r="A191" t="str">
        <x:v>1b0bda03-c325-40d1-bc06-5d7db1d0b2d5</x:v>
      </x:c>
      <x:c r="B191" t="str">
        <x:v>박철홍정형외과</x:v>
      </x:c>
      <x:c r="C191" t="str">
        <x:v>조현준</x:v>
      </x:c>
      <x:c r="D191" t="str">
        <x:v>연차(이력)</x:v>
      </x:c>
      <x:c r="E191" s="47" t="n">
        <x:v>45625</x:v>
      </x:c>
      <x:c r="F191" s="47" t="n">
        <x:v>45625</x:v>
      </x:c>
      <x:c r="G191" s="56"/>
      <x:c r="H191" t="str">
        <x:v>승인</x:v>
      </x:c>
      <x:c r="I191" t="str">
        <x:v>연차관리대장 일괄 반영(2026-05-14)</x:v>
      </x:c>
      <x:c r="J191" s="56" t="n">
        <x:f>IF(OR(ISNUMBER(SEARCH("반차",D191)),ISNUMBER(SEARCH("0.5",D191))),IF(G191&gt;0,G191,0.5),IF(AND(ISNUMBER(SEARCH("연차",D191)),NOT(ISNUMBER(SEARCH("부여",D191)))),IF(G191&lt;&gt;"",G191,MAX(1,F191-E191+1)),0))</x:f>
        <x:v>1</x:v>
      </x:c>
      <x:c r="K191" s="58" t="n">
        <x:v>46156</x:v>
      </x:c>
    </x:row>
    <x:row r="192">
      <x:c r="A192" t="str">
        <x:v>1b0bda03-c325-40d1-bc06-5d7db1d0b2d5</x:v>
      </x:c>
      <x:c r="B192" t="str">
        <x:v>박철홍정형외과</x:v>
      </x:c>
      <x:c r="C192" t="str">
        <x:v>조현준</x:v>
      </x:c>
      <x:c r="D192" t="str">
        <x:v>연차(이력)</x:v>
      </x:c>
      <x:c r="E192" s="47" t="n">
        <x:v>45626</x:v>
      </x:c>
      <x:c r="F192" s="47" t="n">
        <x:v>45626</x:v>
      </x:c>
      <x:c r="G192" s="56"/>
      <x:c r="H192" t="str">
        <x:v>승인</x:v>
      </x:c>
      <x:c r="I192" t="str">
        <x:v>연차관리대장 일괄 반영(2026-05-14)</x:v>
      </x:c>
      <x:c r="J192" s="56" t="n">
        <x:f>IF(OR(ISNUMBER(SEARCH("반차",D192)),ISNUMBER(SEARCH("0.5",D192))),IF(G192&gt;0,G192,0.5),IF(AND(ISNUMBER(SEARCH("연차",D192)),NOT(ISNUMBER(SEARCH("부여",D192)))),IF(G192&lt;&gt;"",G192,MAX(1,F192-E192+1)),0))</x:f>
        <x:v>1</x:v>
      </x:c>
      <x:c r="K192" s="58" t="n">
        <x:v>46156</x:v>
      </x:c>
    </x:row>
    <x:row r="193">
      <x:c r="A193" t="str">
        <x:v>1b0bda03-c325-40d1-bc06-5d7db1d0b2d5</x:v>
      </x:c>
      <x:c r="B193" t="str">
        <x:v>박철홍정형외과</x:v>
      </x:c>
      <x:c r="C193" t="str">
        <x:v>조현준</x:v>
      </x:c>
      <x:c r="D193" t="str">
        <x:v>연차(이력)</x:v>
      </x:c>
      <x:c r="E193" s="47" t="n">
        <x:v>45654</x:v>
      </x:c>
      <x:c r="F193" s="47" t="n">
        <x:v>45654</x:v>
      </x:c>
      <x:c r="G193" s="56"/>
      <x:c r="H193" t="str">
        <x:v>승인</x:v>
      </x:c>
      <x:c r="I193" t="str">
        <x:v>연차관리대장 일괄 반영(2026-05-14)</x:v>
      </x:c>
      <x:c r="J193" s="56" t="n">
        <x:f>IF(OR(ISNUMBER(SEARCH("반차",D193)),ISNUMBER(SEARCH("0.5",D193))),IF(G193&gt;0,G193,0.5),IF(AND(ISNUMBER(SEARCH("연차",D193)),NOT(ISNUMBER(SEARCH("부여",D193)))),IF(G193&lt;&gt;"",G193,MAX(1,F193-E193+1)),0))</x:f>
        <x:v>1</x:v>
      </x:c>
      <x:c r="K193" s="58" t="n">
        <x:v>46156</x:v>
      </x:c>
    </x:row>
    <x:row r="194">
      <x:c r="A194" t="str">
        <x:v>1b0bda03-c325-40d1-bc06-5d7db1d0b2d5</x:v>
      </x:c>
      <x:c r="B194" t="str">
        <x:v>박철홍정형외과</x:v>
      </x:c>
      <x:c r="C194" t="str">
        <x:v>조현준</x:v>
      </x:c>
      <x:c r="D194" t="str">
        <x:v>연차(이력)</x:v>
      </x:c>
      <x:c r="E194" s="47" t="n">
        <x:v>45736</x:v>
      </x:c>
      <x:c r="F194" s="47" t="n">
        <x:v>45736</x:v>
      </x:c>
      <x:c r="G194" s="56"/>
      <x:c r="H194" t="str">
        <x:v>승인</x:v>
      </x:c>
      <x:c r="I194" t="str">
        <x:v>연차관리대장 일괄 반영(2026-05-14)</x:v>
      </x:c>
      <x:c r="J194" s="56" t="n">
        <x:f>IF(OR(ISNUMBER(SEARCH("반차",D194)),ISNUMBER(SEARCH("0.5",D194))),IF(G194&gt;0,G194,0.5),IF(AND(ISNUMBER(SEARCH("연차",D194)),NOT(ISNUMBER(SEARCH("부여",D194)))),IF(G194&lt;&gt;"",G194,MAX(1,F194-E194+1)),0))</x:f>
        <x:v>1</x:v>
      </x:c>
      <x:c r="K194" s="58" t="n">
        <x:v>46156</x:v>
      </x:c>
    </x:row>
    <x:row r="195">
      <x:c r="A195" t="str">
        <x:v>1b0bda03-c325-40d1-bc06-5d7db1d0b2d5</x:v>
      </x:c>
      <x:c r="B195" t="str">
        <x:v>박철홍정형외과</x:v>
      </x:c>
      <x:c r="C195" t="str">
        <x:v>조현준</x:v>
      </x:c>
      <x:c r="D195" t="str">
        <x:v>연차(이력)</x:v>
      </x:c>
      <x:c r="E195" s="47" t="n">
        <x:v>45756</x:v>
      </x:c>
      <x:c r="F195" s="47" t="n">
        <x:v>45756</x:v>
      </x:c>
      <x:c r="G195" s="56"/>
      <x:c r="H195" t="str">
        <x:v>승인</x:v>
      </x:c>
      <x:c r="I195" t="str">
        <x:v>연차관리대장 일괄 반영(2026-05-14)</x:v>
      </x:c>
      <x:c r="J195" s="56" t="n">
        <x:f>IF(OR(ISNUMBER(SEARCH("반차",D195)),ISNUMBER(SEARCH("0.5",D195))),IF(G195&gt;0,G195,0.5),IF(AND(ISNUMBER(SEARCH("연차",D195)),NOT(ISNUMBER(SEARCH("부여",D195)))),IF(G195&lt;&gt;"",G195,MAX(1,F195-E195+1)),0))</x:f>
        <x:v>1</x:v>
      </x:c>
      <x:c r="K195" s="58" t="n">
        <x:v>46156</x:v>
      </x:c>
    </x:row>
    <x:row r="196">
      <x:c r="A196" t="str">
        <x:v>1b0bda03-c325-40d1-bc06-5d7db1d0b2d5</x:v>
      </x:c>
      <x:c r="B196" t="str">
        <x:v>박철홍정형외과</x:v>
      </x:c>
      <x:c r="C196" t="str">
        <x:v>조현준</x:v>
      </x:c>
      <x:c r="D196" t="str">
        <x:v>연차(이력)</x:v>
      </x:c>
      <x:c r="E196" s="47" t="n">
        <x:v>45757</x:v>
      </x:c>
      <x:c r="F196" s="47" t="n">
        <x:v>45757</x:v>
      </x:c>
      <x:c r="G196" s="56"/>
      <x:c r="H196" t="str">
        <x:v>승인</x:v>
      </x:c>
      <x:c r="I196" t="str">
        <x:v>연차관리대장 일괄 반영(2026-05-14)</x:v>
      </x:c>
      <x:c r="J196" s="56" t="n">
        <x:f>IF(OR(ISNUMBER(SEARCH("반차",D196)),ISNUMBER(SEARCH("0.5",D196))),IF(G196&gt;0,G196,0.5),IF(AND(ISNUMBER(SEARCH("연차",D196)),NOT(ISNUMBER(SEARCH("부여",D196)))),IF(G196&lt;&gt;"",G196,MAX(1,F196-E196+1)),0))</x:f>
        <x:v>1</x:v>
      </x:c>
      <x:c r="K196" s="58" t="n">
        <x:v>46156</x:v>
      </x:c>
    </x:row>
    <x:row r="197">
      <x:c r="A197" t="str">
        <x:v>1b0bda03-c325-40d1-bc06-5d7db1d0b2d5</x:v>
      </x:c>
      <x:c r="B197" t="str">
        <x:v>박철홍정형외과</x:v>
      </x:c>
      <x:c r="C197" t="str">
        <x:v>조현준</x:v>
      </x:c>
      <x:c r="D197" t="str">
        <x:v>연차(이력)</x:v>
      </x:c>
      <x:c r="E197" s="47" t="n">
        <x:v>45765</x:v>
      </x:c>
      <x:c r="F197" s="47" t="n">
        <x:v>45765</x:v>
      </x:c>
      <x:c r="G197" s="56"/>
      <x:c r="H197" t="str">
        <x:v>승인</x:v>
      </x:c>
      <x:c r="I197" t="str">
        <x:v>연차관리대장 일괄 반영(2026-05-14)</x:v>
      </x:c>
      <x:c r="J197" s="56" t="n">
        <x:f>IF(OR(ISNUMBER(SEARCH("반차",D197)),ISNUMBER(SEARCH("0.5",D197))),IF(G197&gt;0,G197,0.5),IF(AND(ISNUMBER(SEARCH("연차",D197)),NOT(ISNUMBER(SEARCH("부여",D197)))),IF(G197&lt;&gt;"",G197,MAX(1,F197-E197+1)),0))</x:f>
        <x:v>1</x:v>
      </x:c>
      <x:c r="K197" s="58" t="n">
        <x:v>46156</x:v>
      </x:c>
    </x:row>
    <x:row r="198">
      <x:c r="A198" t="str">
        <x:v>1b0bda03-c325-40d1-bc06-5d7db1d0b2d5</x:v>
      </x:c>
      <x:c r="B198" t="str">
        <x:v>박철홍정형외과</x:v>
      </x:c>
      <x:c r="C198" t="str">
        <x:v>조현준</x:v>
      </x:c>
      <x:c r="D198" t="str">
        <x:v>연차(이력)</x:v>
      </x:c>
      <x:c r="E198" s="47" t="n">
        <x:v>45778</x:v>
      </x:c>
      <x:c r="F198" s="47" t="n">
        <x:v>45778</x:v>
      </x:c>
      <x:c r="G198" s="56"/>
      <x:c r="H198" t="str">
        <x:v>승인</x:v>
      </x:c>
      <x:c r="I198" t="str">
        <x:v>연차관리대장 일괄 반영(2026-05-14)</x:v>
      </x:c>
      <x:c r="J198" s="56" t="n">
        <x:f>IF(OR(ISNUMBER(SEARCH("반차",D198)),ISNUMBER(SEARCH("0.5",D198))),IF(G198&gt;0,G198,0.5),IF(AND(ISNUMBER(SEARCH("연차",D198)),NOT(ISNUMBER(SEARCH("부여",D198)))),IF(G198&lt;&gt;"",G198,MAX(1,F198-E198+1)),0))</x:f>
        <x:v>1</x:v>
      </x:c>
      <x:c r="K198" s="58" t="n">
        <x:v>46156</x:v>
      </x:c>
    </x:row>
    <x:row r="199">
      <x:c r="A199" t="str">
        <x:v>1b0bda03-c325-40d1-bc06-5d7db1d0b2d5</x:v>
      </x:c>
      <x:c r="B199" t="str">
        <x:v>박철홍정형외과</x:v>
      </x:c>
      <x:c r="C199" t="str">
        <x:v>조현준</x:v>
      </x:c>
      <x:c r="D199" t="str">
        <x:v>연차(이력)</x:v>
      </x:c>
      <x:c r="E199" s="47" t="n">
        <x:v>45779</x:v>
      </x:c>
      <x:c r="F199" s="47" t="n">
        <x:v>45779</x:v>
      </x:c>
      <x:c r="G199" s="56"/>
      <x:c r="H199" t="str">
        <x:v>승인</x:v>
      </x:c>
      <x:c r="I199" t="str">
        <x:v>연차관리대장 일괄 반영(2026-05-14)</x:v>
      </x:c>
      <x:c r="J199" s="56" t="n">
        <x:f>IF(OR(ISNUMBER(SEARCH("반차",D199)),ISNUMBER(SEARCH("0.5",D199))),IF(G199&gt;0,G199,0.5),IF(AND(ISNUMBER(SEARCH("연차",D199)),NOT(ISNUMBER(SEARCH("부여",D199)))),IF(G199&lt;&gt;"",G199,MAX(1,F199-E199+1)),0))</x:f>
        <x:v>1</x:v>
      </x:c>
      <x:c r="K199" s="58" t="n">
        <x:v>46156</x:v>
      </x:c>
    </x:row>
    <x:row r="200">
      <x:c r="A200" t="str">
        <x:v>1b0bda03-c325-40d1-bc06-5d7db1d0b2d5</x:v>
      </x:c>
      <x:c r="B200" t="str">
        <x:v>박철홍정형외과</x:v>
      </x:c>
      <x:c r="C200" t="str">
        <x:v>조현준</x:v>
      </x:c>
      <x:c r="D200" t="str">
        <x:v>연차(이력)</x:v>
      </x:c>
      <x:c r="E200" s="47" t="n">
        <x:v>45783</x:v>
      </x:c>
      <x:c r="F200" s="47" t="n">
        <x:v>45783</x:v>
      </x:c>
      <x:c r="G200" s="56"/>
      <x:c r="H200" t="str">
        <x:v>승인</x:v>
      </x:c>
      <x:c r="I200" t="str">
        <x:v>연차관리대장 일괄 반영(2026-05-14)</x:v>
      </x:c>
      <x:c r="J200" s="56" t="n">
        <x:f>IF(OR(ISNUMBER(SEARCH("반차",D200)),ISNUMBER(SEARCH("0.5",D200))),IF(G200&gt;0,G200,0.5),IF(AND(ISNUMBER(SEARCH("연차",D200)),NOT(ISNUMBER(SEARCH("부여",D200)))),IF(G200&lt;&gt;"",G200,MAX(1,F200-E200+1)),0))</x:f>
        <x:v>1</x:v>
      </x:c>
      <x:c r="K200" s="58" t="n">
        <x:v>46156</x:v>
      </x:c>
    </x:row>
    <x:row r="201">
      <x:c r="A201" t="str">
        <x:v>1b0bda03-c325-40d1-bc06-5d7db1d0b2d5</x:v>
      </x:c>
      <x:c r="B201" t="str">
        <x:v>박철홍정형외과</x:v>
      </x:c>
      <x:c r="C201" t="str">
        <x:v>조현준</x:v>
      </x:c>
      <x:c r="D201" t="str">
        <x:v>연차(이력)</x:v>
      </x:c>
      <x:c r="E201" s="47" t="n">
        <x:v>45806</x:v>
      </x:c>
      <x:c r="F201" s="47" t="n">
        <x:v>45806</x:v>
      </x:c>
      <x:c r="G201" s="56"/>
      <x:c r="H201" t="str">
        <x:v>승인</x:v>
      </x:c>
      <x:c r="I201" t="str">
        <x:v>연차관리대장 일괄 반영(2026-05-14)</x:v>
      </x:c>
      <x:c r="J201" s="56" t="n">
        <x:f>IF(OR(ISNUMBER(SEARCH("반차",D201)),ISNUMBER(SEARCH("0.5",D201))),IF(G201&gt;0,G201,0.5),IF(AND(ISNUMBER(SEARCH("연차",D201)),NOT(ISNUMBER(SEARCH("부여",D201)))),IF(G201&lt;&gt;"",G201,MAX(1,F201-E201+1)),0))</x:f>
        <x:v>1</x:v>
      </x:c>
      <x:c r="K201" s="58" t="n">
        <x:v>46156</x:v>
      </x:c>
    </x:row>
    <x:row r="202">
      <x:c r="A202" t="str">
        <x:v>1b0bda03-c325-40d1-bc06-5d7db1d0b2d5</x:v>
      </x:c>
      <x:c r="B202" t="str">
        <x:v>박철홍정형외과</x:v>
      </x:c>
      <x:c r="C202" t="str">
        <x:v>조현준</x:v>
      </x:c>
      <x:c r="D202" t="str">
        <x:v>연차</x:v>
      </x:c>
      <x:c r="E202" s="47" t="n">
        <x:v>45868</x:v>
      </x:c>
      <x:c r="F202" s="47" t="n">
        <x:v>45868</x:v>
      </x:c>
      <x:c r="G202" s="56"/>
      <x:c r="H202" t="str">
        <x:v>승인</x:v>
      </x:c>
      <x:c r="I202" t="str">
        <x:v>연차관리대장 일괄 반영(2026-05-14)</x:v>
      </x:c>
      <x:c r="J202" s="56" t="n">
        <x:f>IF(OR(ISNUMBER(SEARCH("반차",D202)),ISNUMBER(SEARCH("0.5",D202))),IF(G202&gt;0,G202,0.5),IF(AND(ISNUMBER(SEARCH("연차",D202)),NOT(ISNUMBER(SEARCH("부여",D202)))),IF(G202&lt;&gt;"",G202,MAX(1,F202-E202+1)),0))</x:f>
        <x:v>1</x:v>
      </x:c>
      <x:c r="K202" s="58" t="n">
        <x:v>46156</x:v>
      </x:c>
    </x:row>
    <x:row r="203">
      <x:c r="A203" t="str">
        <x:v>1b0bda03-c325-40d1-bc06-5d7db1d0b2d5</x:v>
      </x:c>
      <x:c r="B203" t="str">
        <x:v>박철홍정형외과</x:v>
      </x:c>
      <x:c r="C203" t="str">
        <x:v>조현준</x:v>
      </x:c>
      <x:c r="D203" t="str">
        <x:v>연차</x:v>
      </x:c>
      <x:c r="E203" s="47" t="n">
        <x:v>45869</x:v>
      </x:c>
      <x:c r="F203" s="47" t="n">
        <x:v>45869</x:v>
      </x:c>
      <x:c r="G203" s="56"/>
      <x:c r="H203" t="str">
        <x:v>승인</x:v>
      </x:c>
      <x:c r="I203" t="str">
        <x:v>연차관리대장 일괄 반영(2026-05-14)</x:v>
      </x:c>
      <x:c r="J203" s="56" t="n">
        <x:f>IF(OR(ISNUMBER(SEARCH("반차",D203)),ISNUMBER(SEARCH("0.5",D203))),IF(G203&gt;0,G203,0.5),IF(AND(ISNUMBER(SEARCH("연차",D203)),NOT(ISNUMBER(SEARCH("부여",D203)))),IF(G203&lt;&gt;"",G203,MAX(1,F203-E203+1)),0))</x:f>
        <x:v>1</x:v>
      </x:c>
      <x:c r="K203" s="58" t="n">
        <x:v>46156</x:v>
      </x:c>
    </x:row>
    <x:row r="204">
      <x:c r="A204" t="str">
        <x:v>1b0bda03-c325-40d1-bc06-5d7db1d0b2d5</x:v>
      </x:c>
      <x:c r="B204" t="str">
        <x:v>박철홍정형외과</x:v>
      </x:c>
      <x:c r="C204" t="str">
        <x:v>조현준</x:v>
      </x:c>
      <x:c r="D204" t="str">
        <x:v>연차</x:v>
      </x:c>
      <x:c r="E204" s="47" t="n">
        <x:v>45897</x:v>
      </x:c>
      <x:c r="F204" s="47" t="n">
        <x:v>45897</x:v>
      </x:c>
      <x:c r="G204" s="56"/>
      <x:c r="H204" t="str">
        <x:v>승인</x:v>
      </x:c>
      <x:c r="I204" t="str">
        <x:v>연차관리대장 일괄 반영(2026-05-14)</x:v>
      </x:c>
      <x:c r="J204" s="56" t="n">
        <x:f>IF(OR(ISNUMBER(SEARCH("반차",D204)),ISNUMBER(SEARCH("0.5",D204))),IF(G204&gt;0,G204,0.5),IF(AND(ISNUMBER(SEARCH("연차",D204)),NOT(ISNUMBER(SEARCH("부여",D204)))),IF(G204&lt;&gt;"",G204,MAX(1,F204-E204+1)),0))</x:f>
        <x:v>1</x:v>
      </x:c>
      <x:c r="K204" s="58" t="n">
        <x:v>46156</x:v>
      </x:c>
    </x:row>
    <x:row r="205">
      <x:c r="A205" t="str">
        <x:v>1b0bda03-c325-40d1-bc06-5d7db1d0b2d5</x:v>
      </x:c>
      <x:c r="B205" t="str">
        <x:v>박철홍정형외과</x:v>
      </x:c>
      <x:c r="C205" t="str">
        <x:v>조현준</x:v>
      </x:c>
      <x:c r="D205" t="str">
        <x:v>연차</x:v>
      </x:c>
      <x:c r="E205" s="47" t="n">
        <x:v>45898</x:v>
      </x:c>
      <x:c r="F205" s="47" t="n">
        <x:v>45898</x:v>
      </x:c>
      <x:c r="G205" s="56"/>
      <x:c r="H205" t="str">
        <x:v>승인</x:v>
      </x:c>
      <x:c r="I205" t="str">
        <x:v>연차관리대장 일괄 반영(2026-05-14)</x:v>
      </x:c>
      <x:c r="J205" s="56" t="n">
        <x:f>IF(OR(ISNUMBER(SEARCH("반차",D205)),ISNUMBER(SEARCH("0.5",D205))),IF(G205&gt;0,G205,0.5),IF(AND(ISNUMBER(SEARCH("연차",D205)),NOT(ISNUMBER(SEARCH("부여",D205)))),IF(G205&lt;&gt;"",G205,MAX(1,F205-E205+1)),0))</x:f>
        <x:v>1</x:v>
      </x:c>
      <x:c r="K205" s="58" t="n">
        <x:v>46156</x:v>
      </x:c>
    </x:row>
    <x:row r="206">
      <x:c r="A206" t="str">
        <x:v>1b0bda03-c325-40d1-bc06-5d7db1d0b2d5</x:v>
      </x:c>
      <x:c r="B206" t="str">
        <x:v>박철홍정형외과</x:v>
      </x:c>
      <x:c r="C206" t="str">
        <x:v>조현준</x:v>
      </x:c>
      <x:c r="D206" t="str">
        <x:v>연차</x:v>
      </x:c>
      <x:c r="E206" s="47" t="n">
        <x:v>45905</x:v>
      </x:c>
      <x:c r="F206" s="47" t="n">
        <x:v>45905</x:v>
      </x:c>
      <x:c r="G206" s="56"/>
      <x:c r="H206" t="str">
        <x:v>승인</x:v>
      </x:c>
      <x:c r="I206" t="str">
        <x:v>연차관리대장 일괄 반영(2026-05-14)</x:v>
      </x:c>
      <x:c r="J206" s="56" t="n">
        <x:f>IF(OR(ISNUMBER(SEARCH("반차",D206)),ISNUMBER(SEARCH("0.5",D206))),IF(G206&gt;0,G206,0.5),IF(AND(ISNUMBER(SEARCH("연차",D206)),NOT(ISNUMBER(SEARCH("부여",D206)))),IF(G206&lt;&gt;"",G206,MAX(1,F206-E206+1)),0))</x:f>
        <x:v>1</x:v>
      </x:c>
      <x:c r="K206" s="58" t="n">
        <x:v>46156</x:v>
      </x:c>
    </x:row>
    <x:row r="207">
      <x:c r="A207" t="str">
        <x:v>1b0bda03-c325-40d1-bc06-5d7db1d0b2d5</x:v>
      </x:c>
      <x:c r="B207" t="str">
        <x:v>박철홍정형외과</x:v>
      </x:c>
      <x:c r="C207" t="str">
        <x:v>조현준</x:v>
      </x:c>
      <x:c r="D207" t="str">
        <x:v>연차</x:v>
      </x:c>
      <x:c r="E207" s="47" t="n">
        <x:v>45966</x:v>
      </x:c>
      <x:c r="F207" s="47" t="n">
        <x:v>45966</x:v>
      </x:c>
      <x:c r="G207" s="56"/>
      <x:c r="H207" t="str">
        <x:v>승인</x:v>
      </x:c>
      <x:c r="I207" t="str">
        <x:v>연차관리대장 일괄 반영(2026-05-14)</x:v>
      </x:c>
      <x:c r="J207" s="56" t="n">
        <x:f>IF(OR(ISNUMBER(SEARCH("반차",D207)),ISNUMBER(SEARCH("0.5",D207))),IF(G207&gt;0,G207,0.5),IF(AND(ISNUMBER(SEARCH("연차",D207)),NOT(ISNUMBER(SEARCH("부여",D207)))),IF(G207&lt;&gt;"",G207,MAX(1,F207-E207+1)),0))</x:f>
        <x:v>1</x:v>
      </x:c>
      <x:c r="K207" s="58" t="n">
        <x:v>46156</x:v>
      </x:c>
    </x:row>
    <x:row r="208">
      <x:c r="A208" t="str">
        <x:v>1b0bda03-c325-40d1-bc06-5d7db1d0b2d5</x:v>
      </x:c>
      <x:c r="B208" t="str">
        <x:v>박철홍정형외과</x:v>
      </x:c>
      <x:c r="C208" t="str">
        <x:v>조현준</x:v>
      </x:c>
      <x:c r="D208" t="str">
        <x:v>연차</x:v>
      </x:c>
      <x:c r="E208" s="47" t="n">
        <x:v>45973</x:v>
      </x:c>
      <x:c r="F208" s="47" t="n">
        <x:v>45973</x:v>
      </x:c>
      <x:c r="G208" s="56"/>
      <x:c r="H208" t="str">
        <x:v>승인</x:v>
      </x:c>
      <x:c r="I208" t="str">
        <x:v>연차관리대장 일괄 반영(2026-05-14)</x:v>
      </x:c>
      <x:c r="J208" s="56" t="n">
        <x:f>IF(OR(ISNUMBER(SEARCH("반차",D208)),ISNUMBER(SEARCH("0.5",D208))),IF(G208&gt;0,G208,0.5),IF(AND(ISNUMBER(SEARCH("연차",D208)),NOT(ISNUMBER(SEARCH("부여",D208)))),IF(G208&lt;&gt;"",G208,MAX(1,F208-E208+1)),0))</x:f>
        <x:v>1</x:v>
      </x:c>
      <x:c r="K208" s="58" t="n">
        <x:v>46156</x:v>
      </x:c>
    </x:row>
    <x:row r="209">
      <x:c r="A209" t="str">
        <x:v>1b0bda03-c325-40d1-bc06-5d7db1d0b2d5</x:v>
      </x:c>
      <x:c r="B209" t="str">
        <x:v>박철홍정형외과</x:v>
      </x:c>
      <x:c r="C209" t="str">
        <x:v>조현준</x:v>
      </x:c>
      <x:c r="D209" t="str">
        <x:v>연차</x:v>
      </x:c>
      <x:c r="E209" s="47" t="n">
        <x:v>45986</x:v>
      </x:c>
      <x:c r="F209" s="47" t="n">
        <x:v>45986</x:v>
      </x:c>
      <x:c r="G209" s="56"/>
      <x:c r="H209" t="str">
        <x:v>승인</x:v>
      </x:c>
      <x:c r="I209" t="str">
        <x:v>연차관리대장 일괄 반영(2026-05-14)</x:v>
      </x:c>
      <x:c r="J209" s="56" t="n">
        <x:f>IF(OR(ISNUMBER(SEARCH("반차",D209)),ISNUMBER(SEARCH("0.5",D209))),IF(G209&gt;0,G209,0.5),IF(AND(ISNUMBER(SEARCH("연차",D209)),NOT(ISNUMBER(SEARCH("부여",D209)))),IF(G209&lt;&gt;"",G209,MAX(1,F209-E209+1)),0))</x:f>
        <x:v>1</x:v>
      </x:c>
      <x:c r="K209" s="58" t="n">
        <x:v>46156</x:v>
      </x:c>
    </x:row>
    <x:row r="210">
      <x:c r="A210" t="str">
        <x:v>1b0bda03-c325-40d1-bc06-5d7db1d0b2d5</x:v>
      </x:c>
      <x:c r="B210" t="str">
        <x:v>박철홍정형외과</x:v>
      </x:c>
      <x:c r="C210" t="str">
        <x:v>조현준</x:v>
      </x:c>
      <x:c r="D210" t="str">
        <x:v>연차</x:v>
      </x:c>
      <x:c r="E210" s="47" t="n">
        <x:v>45999</x:v>
      </x:c>
      <x:c r="F210" s="47" t="n">
        <x:v>45999</x:v>
      </x:c>
      <x:c r="G210" s="56"/>
      <x:c r="H210" t="str">
        <x:v>승인</x:v>
      </x:c>
      <x:c r="I210" t="str">
        <x:v>연차관리대장 일괄 반영(2026-05-14)</x:v>
      </x:c>
      <x:c r="J210" s="56" t="n">
        <x:f>IF(OR(ISNUMBER(SEARCH("반차",D210)),ISNUMBER(SEARCH("0.5",D210))),IF(G210&gt;0,G210,0.5),IF(AND(ISNUMBER(SEARCH("연차",D210)),NOT(ISNUMBER(SEARCH("부여",D210)))),IF(G210&lt;&gt;"",G210,MAX(1,F210-E210+1)),0))</x:f>
        <x:v>1</x:v>
      </x:c>
      <x:c r="K210" s="58" t="n">
        <x:v>46156</x:v>
      </x:c>
    </x:row>
    <x:row r="211">
      <x:c r="A211" t="str">
        <x:v>1b0bda03-c325-40d1-bc06-5d7db1d0b2d5</x:v>
      </x:c>
      <x:c r="B211" t="str">
        <x:v>박철홍정형외과</x:v>
      </x:c>
      <x:c r="C211" t="str">
        <x:v>조현준</x:v>
      </x:c>
      <x:c r="D211" t="str">
        <x:v>연차</x:v>
      </x:c>
      <x:c r="E211" s="47" t="n">
        <x:v>46038</x:v>
      </x:c>
      <x:c r="F211" s="47" t="n">
        <x:v>46038</x:v>
      </x:c>
      <x:c r="G211" s="56"/>
      <x:c r="H211" t="str">
        <x:v>승인</x:v>
      </x:c>
      <x:c r="I211" t="str">
        <x:v>연차관리대장 일괄 반영(2026-05-14)</x:v>
      </x:c>
      <x:c r="J211" s="56" t="n">
        <x:f>IF(OR(ISNUMBER(SEARCH("반차",D211)),ISNUMBER(SEARCH("0.5",D211))),IF(G211&gt;0,G211,0.5),IF(AND(ISNUMBER(SEARCH("연차",D211)),NOT(ISNUMBER(SEARCH("부여",D211)))),IF(G211&lt;&gt;"",G211,MAX(1,F211-E211+1)),0))</x:f>
        <x:v>1</x:v>
      </x:c>
      <x:c r="K211" s="58" t="n">
        <x:v>46156</x:v>
      </x:c>
    </x:row>
    <x:row r="212">
      <x:c r="A212" t="str">
        <x:v>1b0bda03-c325-40d1-bc06-5d7db1d0b2d5</x:v>
      </x:c>
      <x:c r="B212" t="str">
        <x:v>박철홍정형외과</x:v>
      </x:c>
      <x:c r="C212" t="str">
        <x:v>조현준</x:v>
      </x:c>
      <x:c r="D212" t="str">
        <x:v>연차</x:v>
      </x:c>
      <x:c r="E212" s="47" t="n">
        <x:v>46072</x:v>
      </x:c>
      <x:c r="F212" s="47" t="n">
        <x:v>46072</x:v>
      </x:c>
      <x:c r="G212" s="56"/>
      <x:c r="H212" t="str">
        <x:v>승인</x:v>
      </x:c>
      <x:c r="I212" t="str">
        <x:v>연차관리대장 일괄 반영(2026-05-14)</x:v>
      </x:c>
      <x:c r="J212" s="56" t="n">
        <x:f>IF(OR(ISNUMBER(SEARCH("반차",D212)),ISNUMBER(SEARCH("0.5",D212))),IF(G212&gt;0,G212,0.5),IF(AND(ISNUMBER(SEARCH("연차",D212)),NOT(ISNUMBER(SEARCH("부여",D212)))),IF(G212&lt;&gt;"",G212,MAX(1,F212-E212+1)),0))</x:f>
        <x:v>1</x:v>
      </x:c>
      <x:c r="K212" s="58" t="n">
        <x:v>46156</x:v>
      </x:c>
    </x:row>
    <x:row r="213">
      <x:c r="A213" t="str">
        <x:v>1b0bda03-c325-40d1-bc06-5d7db1d0b2d5</x:v>
      </x:c>
      <x:c r="B213" t="str">
        <x:v>박철홍정형외과</x:v>
      </x:c>
      <x:c r="C213" t="str">
        <x:v>조현준</x:v>
      </x:c>
      <x:c r="D213" t="str">
        <x:v>연차</x:v>
      </x:c>
      <x:c r="E213" s="47" t="n">
        <x:v>46073</x:v>
      </x:c>
      <x:c r="F213" s="47" t="n">
        <x:v>46073</x:v>
      </x:c>
      <x:c r="G213" s="56"/>
      <x:c r="H213" t="str">
        <x:v>승인</x:v>
      </x:c>
      <x:c r="I213" t="str">
        <x:v>연차관리대장 일괄 반영(2026-05-14)</x:v>
      </x:c>
      <x:c r="J213" s="56" t="n">
        <x:f>IF(OR(ISNUMBER(SEARCH("반차",D213)),ISNUMBER(SEARCH("0.5",D213))),IF(G213&gt;0,G213,0.5),IF(AND(ISNUMBER(SEARCH("연차",D213)),NOT(ISNUMBER(SEARCH("부여",D213)))),IF(G213&lt;&gt;"",G213,MAX(1,F213-E213+1)),0))</x:f>
        <x:v>1</x:v>
      </x:c>
      <x:c r="K213" s="58" t="n">
        <x:v>46156</x:v>
      </x:c>
    </x:row>
    <x:row r="214">
      <x:c r="A214" t="str">
        <x:v>1b0bda03-c325-40d1-bc06-5d7db1d0b2d5</x:v>
      </x:c>
      <x:c r="B214" t="str">
        <x:v>박철홍정형외과</x:v>
      </x:c>
      <x:c r="C214" t="str">
        <x:v>조현준</x:v>
      </x:c>
      <x:c r="D214" t="str">
        <x:v>연차</x:v>
      </x:c>
      <x:c r="E214" s="47" t="n">
        <x:v>46079</x:v>
      </x:c>
      <x:c r="F214" s="47" t="n">
        <x:v>46079</x:v>
      </x:c>
      <x:c r="G214" s="56"/>
      <x:c r="H214" t="str">
        <x:v>승인</x:v>
      </x:c>
      <x:c r="I214" t="str">
        <x:v>연차관리대장 일괄 반영(2026-05-14)</x:v>
      </x:c>
      <x:c r="J214" s="56" t="n">
        <x:f>IF(OR(ISNUMBER(SEARCH("반차",D214)),ISNUMBER(SEARCH("0.5",D214))),IF(G214&gt;0,G214,0.5),IF(AND(ISNUMBER(SEARCH("연차",D214)),NOT(ISNUMBER(SEARCH("부여",D214)))),IF(G214&lt;&gt;"",G214,MAX(1,F214-E214+1)),0))</x:f>
        <x:v>1</x:v>
      </x:c>
      <x:c r="K214" s="58" t="n">
        <x:v>46156</x:v>
      </x:c>
    </x:row>
    <x:row r="215">
      <x:c r="A215" t="str">
        <x:v>1b0bda03-c325-40d1-bc06-5d7db1d0b2d5</x:v>
      </x:c>
      <x:c r="B215" t="str">
        <x:v>박철홍정형외과</x:v>
      </x:c>
      <x:c r="C215" t="str">
        <x:v>조현준</x:v>
      </x:c>
      <x:c r="D215" t="str">
        <x:v>연차</x:v>
      </x:c>
      <x:c r="E215" s="47" t="n">
        <x:v>46174</x:v>
      </x:c>
      <x:c r="F215" s="47" t="n">
        <x:v>46175</x:v>
      </x:c>
      <x:c r="G215" s="56"/>
      <x:c r="H215" t="str">
        <x:v>승인</x:v>
      </x:c>
      <x:c r="I215" t="str">
        <x:v>미사용 연차 소멸</x:v>
      </x:c>
      <x:c r="J215" s="56" t="n">
        <x:f>IF(OR(ISNUMBER(SEARCH("반차",D215)),ISNUMBER(SEARCH("0.5",D215))),IF(G215&gt;0,G215,0.5),IF(AND(ISNUMBER(SEARCH("연차",D215)),NOT(ISNUMBER(SEARCH("부여",D215)))),IF(G215&lt;&gt;"",G215,MAX(1,F215-E215+1)),0))</x:f>
        <x:v>2</x:v>
      </x:c>
      <x:c r="K215" s="58" t="n">
        <x:v>46191</x:v>
      </x:c>
    </x:row>
    <x:row r="216">
      <x:c r="A216" t="str">
        <x:v>1b0bda03-c325-40d1-bc06-5d7db1d0b2d5</x:v>
      </x:c>
      <x:c r="B216" t="str">
        <x:v>박철홍정형외과</x:v>
      </x:c>
      <x:c r="C216" t="str">
        <x:v>조현준</x:v>
      </x:c>
      <x:c r="D216" t="str">
        <x:v>연차(부여)</x:v>
      </x:c>
      <x:c r="E216" s="47" t="n">
        <x:v>46176</x:v>
      </x:c>
      <x:c r="F216" s="47" t="n">
        <x:v>46190</x:v>
      </x:c>
      <x:c r="G216" s="56"/>
      <x:c r="H216" t="str">
        <x:v>승인</x:v>
      </x:c>
      <x:c r="I216" t="str">
        <x:v>2년차 부여</x:v>
      </x:c>
      <x:c r="J216" s="56" t="n">
        <x:f>IF(OR(ISNUMBER(SEARCH("반차",D216)),ISNUMBER(SEARCH("0.5",D216))),IF(G216&gt;0,G216,0.5),IF(AND(ISNUMBER(SEARCH("연차",D216)),NOT(ISNUMBER(SEARCH("부여",D216)))),IF(G216&lt;&gt;"",G216,MAX(1,F216-E216+1)),0))</x:f>
        <x:v>0</x:v>
      </x:c>
      <x:c r="K216" s="58" t="n">
        <x:v>46191</x:v>
      </x:c>
    </x:row>
    <x:row r="217">
      <x:c r="A217" t="str">
        <x:v>1b0bda03-c325-40d1-bc06-5d7db1d0b2d5</x:v>
      </x:c>
      <x:c r="B217" t="str">
        <x:v>박철홍정형외과</x:v>
      </x:c>
      <x:c r="C217" t="str">
        <x:v>조현준</x:v>
      </x:c>
      <x:c r="D217" t="str">
        <x:v>연차(부여)</x:v>
      </x:c>
      <x:c r="E217" s="47" t="n">
        <x:v>46176</x:v>
      </x:c>
      <x:c r="F217" s="47" t="n">
        <x:v>46190</x:v>
      </x:c>
      <x:c r="G217" s="56"/>
      <x:c r="H217" t="str">
        <x:v>승인</x:v>
      </x:c>
      <x:c r="I217" t="str">
        <x:v>2년 도래 부여.</x:v>
      </x:c>
      <x:c r="J217" s="56" t="n">
        <x:f>IF(OR(ISNUMBER(SEARCH("반차",D217)),ISNUMBER(SEARCH("0.5",D217))),IF(G217&gt;0,G217,0.5),IF(AND(ISNUMBER(SEARCH("연차",D217)),NOT(ISNUMBER(SEARCH("부여",D217)))),IF(G217&lt;&gt;"",G217,MAX(1,F217-E217+1)),0))</x:f>
        <x:v>0</x:v>
      </x:c>
      <x:c r="K217" s="58" t="n">
        <x:v>46199</x:v>
      </x:c>
    </x:row>
    <x:row r="218">
      <x:c r="A218" t="str">
        <x:v>1b0bda03-c325-40d1-bc06-5d7db1d0b2d5</x:v>
      </x:c>
      <x:c r="B218" t="str">
        <x:v>박철홍정형외과</x:v>
      </x:c>
      <x:c r="C218" t="str">
        <x:v>조현준</x:v>
      </x:c>
      <x:c r="D218" t="str">
        <x:v>연차 (1.0)</x:v>
      </x:c>
      <x:c r="E218" s="47" t="n">
        <x:v>46233</x:v>
      </x:c>
      <x:c r="F218" s="47" t="n">
        <x:v>46235</x:v>
      </x:c>
      <x:c r="G218" s="56" t="n">
        <x:v>3</x:v>
      </x:c>
      <x:c r="H218" t="str">
        <x:v>승인</x:v>
      </x:c>
      <x:c r="I218" t="str">
        <x:v>개인사유</x:v>
      </x:c>
      <x:c r="J218" s="56" t="n">
        <x:f>IF(OR(ISNUMBER(SEARCH("반차",D218)),ISNUMBER(SEARCH("0.5",D218))),IF(G218&gt;0,G218,0.5),IF(AND(ISNUMBER(SEARCH("연차",D218)),NOT(ISNUMBER(SEARCH("부여",D218)))),IF(G218&lt;&gt;"",G218,MAX(1,F218-E218+1)),0))</x:f>
        <x:v>3</x:v>
      </x:c>
      <x:c r="K218" s="58" t="n">
        <x:v>46210</x:v>
      </x:c>
    </x:row>
    <x:row r="219">
      <x:c r="A219" t="str">
        <x:v>604f9fcb-bab4-43f5-9fa5-137315d57050</x:v>
      </x:c>
      <x:c r="B219" t="str">
        <x:v>박철홍정형외과</x:v>
      </x:c>
      <x:c r="C219" t="str">
        <x:v>진보경</x:v>
      </x:c>
      <x:c r="D219" t="str">
        <x:v>연차(이력)</x:v>
      </x:c>
      <x:c r="E219" s="47" t="n">
        <x:v>45869</x:v>
      </x:c>
      <x:c r="F219" s="47" t="n">
        <x:v>45869</x:v>
      </x:c>
      <x:c r="G219" s="56"/>
      <x:c r="H219" t="str">
        <x:v>승인</x:v>
      </x:c>
      <x:c r="I219" t="str">
        <x:v>연차관리대장 일괄 반영(2026-05-14)</x:v>
      </x:c>
      <x:c r="J219" s="56" t="n">
        <x:f>IF(OR(ISNUMBER(SEARCH("반차",D219)),ISNUMBER(SEARCH("0.5",D219))),IF(G219&gt;0,G219,0.5),IF(AND(ISNUMBER(SEARCH("연차",D219)),NOT(ISNUMBER(SEARCH("부여",D219)))),IF(G219&lt;&gt;"",G219,MAX(1,F219-E219+1)),0))</x:f>
        <x:v>1</x:v>
      </x:c>
      <x:c r="K219" s="58" t="n">
        <x:v>46156</x:v>
      </x:c>
    </x:row>
    <x:row r="220">
      <x:c r="A220" t="str">
        <x:v>604f9fcb-bab4-43f5-9fa5-137315d57050</x:v>
      </x:c>
      <x:c r="B220" t="str">
        <x:v>박철홍정형외과</x:v>
      </x:c>
      <x:c r="C220" t="str">
        <x:v>진보경</x:v>
      </x:c>
      <x:c r="D220" t="str">
        <x:v>연차(이력)</x:v>
      </x:c>
      <x:c r="E220" s="47" t="n">
        <x:v>45870</x:v>
      </x:c>
      <x:c r="F220" s="47" t="n">
        <x:v>45870</x:v>
      </x:c>
      <x:c r="G220" s="56"/>
      <x:c r="H220" t="str">
        <x:v>승인</x:v>
      </x:c>
      <x:c r="I220" t="str">
        <x:v>연차관리대장 일괄 반영(2026-05-14)</x:v>
      </x:c>
      <x:c r="J220" s="56" t="n">
        <x:f>IF(OR(ISNUMBER(SEARCH("반차",D220)),ISNUMBER(SEARCH("0.5",D220))),IF(G220&gt;0,G220,0.5),IF(AND(ISNUMBER(SEARCH("연차",D220)),NOT(ISNUMBER(SEARCH("부여",D220)))),IF(G220&lt;&gt;"",G220,MAX(1,F220-E220+1)),0))</x:f>
        <x:v>1</x:v>
      </x:c>
      <x:c r="K220" s="58" t="n">
        <x:v>46156</x:v>
      </x:c>
    </x:row>
    <x:row r="221">
      <x:c r="A221" t="str">
        <x:v>604f9fcb-bab4-43f5-9fa5-137315d57050</x:v>
      </x:c>
      <x:c r="B221" t="str">
        <x:v>박철홍정형외과</x:v>
      </x:c>
      <x:c r="C221" t="str">
        <x:v>진보경</x:v>
      </x:c>
      <x:c r="D221" t="str">
        <x:v>연차(이력)</x:v>
      </x:c>
      <x:c r="E221" s="47" t="n">
        <x:v>45974</x:v>
      </x:c>
      <x:c r="F221" s="47" t="n">
        <x:v>45974</x:v>
      </x:c>
      <x:c r="G221" s="56"/>
      <x:c r="H221" t="str">
        <x:v>승인</x:v>
      </x:c>
      <x:c r="I221" t="str">
        <x:v>연차관리대장 일괄 반영(2026-05-14)</x:v>
      </x:c>
      <x:c r="J221" s="56" t="n">
        <x:f>IF(OR(ISNUMBER(SEARCH("반차",D221)),ISNUMBER(SEARCH("0.5",D221))),IF(G221&gt;0,G221,0.5),IF(AND(ISNUMBER(SEARCH("연차",D221)),NOT(ISNUMBER(SEARCH("부여",D221)))),IF(G221&lt;&gt;"",G221,MAX(1,F221-E221+1)),0))</x:f>
        <x:v>1</x:v>
      </x:c>
      <x:c r="K221" s="58" t="n">
        <x:v>46156</x:v>
      </x:c>
    </x:row>
    <x:row r="222">
      <x:c r="A222" t="str">
        <x:v>604f9fcb-bab4-43f5-9fa5-137315d57050</x:v>
      </x:c>
      <x:c r="B222" t="str">
        <x:v>박철홍정형외과</x:v>
      </x:c>
      <x:c r="C222" t="str">
        <x:v>진보경</x:v>
      </x:c>
      <x:c r="D222" t="str">
        <x:v>연차(이력)</x:v>
      </x:c>
      <x:c r="E222" s="47" t="n">
        <x:v>46003</x:v>
      </x:c>
      <x:c r="F222" s="47" t="n">
        <x:v>46003</x:v>
      </x:c>
      <x:c r="G222" s="56"/>
      <x:c r="H222" t="str">
        <x:v>승인</x:v>
      </x:c>
      <x:c r="I222" t="str">
        <x:v>연차관리대장 일괄 반영(2026-05-14)</x:v>
      </x:c>
      <x:c r="J222" s="56" t="n">
        <x:f>IF(OR(ISNUMBER(SEARCH("반차",D222)),ISNUMBER(SEARCH("0.5",D222))),IF(G222&gt;0,G222,0.5),IF(AND(ISNUMBER(SEARCH("연차",D222)),NOT(ISNUMBER(SEARCH("부여",D222)))),IF(G222&lt;&gt;"",G222,MAX(1,F222-E222+1)),0))</x:f>
        <x:v>1</x:v>
      </x:c>
      <x:c r="K222" s="58" t="n">
        <x:v>46156</x:v>
      </x:c>
    </x:row>
    <x:row r="223">
      <x:c r="A223" t="str">
        <x:v>604f9fcb-bab4-43f5-9fa5-137315d57050</x:v>
      </x:c>
      <x:c r="B223" t="str">
        <x:v>박철홍정형외과</x:v>
      </x:c>
      <x:c r="C223" t="str">
        <x:v>진보경</x:v>
      </x:c>
      <x:c r="D223" t="str">
        <x:v>연차(이력)</x:v>
      </x:c>
      <x:c r="E223" s="47" t="n">
        <x:v>46036</x:v>
      </x:c>
      <x:c r="F223" s="47" t="n">
        <x:v>46036</x:v>
      </x:c>
      <x:c r="G223" s="56"/>
      <x:c r="H223" t="str">
        <x:v>승인</x:v>
      </x:c>
      <x:c r="I223" t="str">
        <x:v>연차관리대장 일괄 반영(2026-05-14)</x:v>
      </x:c>
      <x:c r="J223" s="56" t="n">
        <x:f>IF(OR(ISNUMBER(SEARCH("반차",D223)),ISNUMBER(SEARCH("0.5",D223))),IF(G223&gt;0,G223,0.5),IF(AND(ISNUMBER(SEARCH("연차",D223)),NOT(ISNUMBER(SEARCH("부여",D223)))),IF(G223&lt;&gt;"",G223,MAX(1,F223-E223+1)),0))</x:f>
        <x:v>1</x:v>
      </x:c>
      <x:c r="K223" s="58" t="n">
        <x:v>46156</x:v>
      </x:c>
    </x:row>
    <x:row r="224">
      <x:c r="A224" t="str">
        <x:v>604f9fcb-bab4-43f5-9fa5-137315d57050</x:v>
      </x:c>
      <x:c r="B224" t="str">
        <x:v>박철홍정형외과</x:v>
      </x:c>
      <x:c r="C224" t="str">
        <x:v>진보경</x:v>
      </x:c>
      <x:c r="D224" t="str">
        <x:v>연차(이력)</x:v>
      </x:c>
      <x:c r="E224" s="47" t="n">
        <x:v>46063</x:v>
      </x:c>
      <x:c r="F224" s="47" t="n">
        <x:v>46063</x:v>
      </x:c>
      <x:c r="G224" s="56"/>
      <x:c r="H224" t="str">
        <x:v>승인</x:v>
      </x:c>
      <x:c r="I224" t="str">
        <x:v>연차관리대장 일괄 반영(2026-05-14)</x:v>
      </x:c>
      <x:c r="J224" s="56" t="n">
        <x:f>IF(OR(ISNUMBER(SEARCH("반차",D224)),ISNUMBER(SEARCH("0.5",D224))),IF(G224&gt;0,G224,0.5),IF(AND(ISNUMBER(SEARCH("연차",D224)),NOT(ISNUMBER(SEARCH("부여",D224)))),IF(G224&lt;&gt;"",G224,MAX(1,F224-E224+1)),0))</x:f>
        <x:v>1</x:v>
      </x:c>
      <x:c r="K224" s="58" t="n">
        <x:v>46156</x:v>
      </x:c>
    </x:row>
    <x:row r="225">
      <x:c r="A225" t="str">
        <x:v>604f9fcb-bab4-43f5-9fa5-137315d57050</x:v>
      </x:c>
      <x:c r="B225" t="str">
        <x:v>박철홍정형외과</x:v>
      </x:c>
      <x:c r="C225" t="str">
        <x:v>진보경</x:v>
      </x:c>
      <x:c r="D225" t="str">
        <x:v>연차(이력)</x:v>
      </x:c>
      <x:c r="E225" s="47" t="n">
        <x:v>46073</x:v>
      </x:c>
      <x:c r="F225" s="47" t="n">
        <x:v>46073</x:v>
      </x:c>
      <x:c r="G225" s="56"/>
      <x:c r="H225" t="str">
        <x:v>승인</x:v>
      </x:c>
      <x:c r="I225" t="str">
        <x:v>연차관리대장 일괄 반영(2026-05-14)</x:v>
      </x:c>
      <x:c r="J225" s="56" t="n">
        <x:f>IF(OR(ISNUMBER(SEARCH("반차",D225)),ISNUMBER(SEARCH("0.5",D225))),IF(G225&gt;0,G225,0.5),IF(AND(ISNUMBER(SEARCH("연차",D225)),NOT(ISNUMBER(SEARCH("부여",D225)))),IF(G225&lt;&gt;"",G225,MAX(1,F225-E225+1)),0))</x:f>
        <x:v>1</x:v>
      </x:c>
      <x:c r="K225" s="58" t="n">
        <x:v>46156</x:v>
      </x:c>
    </x:row>
    <x:row r="226">
      <x:c r="A226" t="str">
        <x:v>604f9fcb-bab4-43f5-9fa5-137315d57050</x:v>
      </x:c>
      <x:c r="B226" t="str">
        <x:v>박철홍정형외과</x:v>
      </x:c>
      <x:c r="C226" t="str">
        <x:v>진보경</x:v>
      </x:c>
      <x:c r="D226" t="str">
        <x:v>연차(이력)</x:v>
      </x:c>
      <x:c r="E226" s="47" t="n">
        <x:v>46079</x:v>
      </x:c>
      <x:c r="F226" s="47" t="n">
        <x:v>46079</x:v>
      </x:c>
      <x:c r="G226" s="56"/>
      <x:c r="H226" t="str">
        <x:v>승인</x:v>
      </x:c>
      <x:c r="I226" t="str">
        <x:v>연차관리대장 일괄 반영(2026-05-14)</x:v>
      </x:c>
      <x:c r="J226" s="56" t="n">
        <x:f>IF(OR(ISNUMBER(SEARCH("반차",D226)),ISNUMBER(SEARCH("0.5",D226))),IF(G226&gt;0,G226,0.5),IF(AND(ISNUMBER(SEARCH("연차",D226)),NOT(ISNUMBER(SEARCH("부여",D226)))),IF(G226&lt;&gt;"",G226,MAX(1,F226-E226+1)),0))</x:f>
        <x:v>1</x:v>
      </x:c>
      <x:c r="K226" s="58" t="n">
        <x:v>46156</x:v>
      </x:c>
    </x:row>
    <x:row r="227">
      <x:c r="A227" t="str">
        <x:v>604f9fcb-bab4-43f5-9fa5-137315d57050</x:v>
      </x:c>
      <x:c r="B227" t="str">
        <x:v>박철홍정형외과</x:v>
      </x:c>
      <x:c r="C227" t="str">
        <x:v>진보경</x:v>
      </x:c>
      <x:c r="D227" t="str">
        <x:v>연차(이력)</x:v>
      </x:c>
      <x:c r="E227" s="47" t="n">
        <x:v>46080</x:v>
      </x:c>
      <x:c r="F227" s="47" t="n">
        <x:v>46080</x:v>
      </x:c>
      <x:c r="G227" s="56"/>
      <x:c r="H227" t="str">
        <x:v>승인</x:v>
      </x:c>
      <x:c r="I227" t="str">
        <x:v>연차관리대장 일괄 반영(2026-05-14)</x:v>
      </x:c>
      <x:c r="J227" s="56" t="n">
        <x:f>IF(OR(ISNUMBER(SEARCH("반차",D227)),ISNUMBER(SEARCH("0.5",D227))),IF(G227&gt;0,G227,0.5),IF(AND(ISNUMBER(SEARCH("연차",D227)),NOT(ISNUMBER(SEARCH("부여",D227)))),IF(G227&lt;&gt;"",G227,MAX(1,F227-E227+1)),0))</x:f>
        <x:v>1</x:v>
      </x:c>
      <x:c r="K227" s="58" t="n">
        <x:v>46156</x:v>
      </x:c>
    </x:row>
    <x:row r="228">
      <x:c r="A228" t="str">
        <x:v>604f9fcb-bab4-43f5-9fa5-137315d57050</x:v>
      </x:c>
      <x:c r="B228" t="str">
        <x:v>박철홍정형외과</x:v>
      </x:c>
      <x:c r="C228" t="str">
        <x:v>진보경</x:v>
      </x:c>
      <x:c r="D228" t="str">
        <x:v>연차(이력)</x:v>
      </x:c>
      <x:c r="E228" s="47" t="n">
        <x:v>46101</x:v>
      </x:c>
      <x:c r="F228" s="47" t="n">
        <x:v>46101</x:v>
      </x:c>
      <x:c r="G228" s="56"/>
      <x:c r="H228" t="str">
        <x:v>승인</x:v>
      </x:c>
      <x:c r="I228" t="str">
        <x:v>연차관리대장 일괄 반영(2026-05-14)</x:v>
      </x:c>
      <x:c r="J228" s="56" t="n">
        <x:f>IF(OR(ISNUMBER(SEARCH("반차",D228)),ISNUMBER(SEARCH("0.5",D228))),IF(G228&gt;0,G228,0.5),IF(AND(ISNUMBER(SEARCH("연차",D228)),NOT(ISNUMBER(SEARCH("부여",D228)))),IF(G228&lt;&gt;"",G228,MAX(1,F228-E228+1)),0))</x:f>
        <x:v>1</x:v>
      </x:c>
      <x:c r="K228" s="58" t="n">
        <x:v>46156</x:v>
      </x:c>
    </x:row>
    <x:row r="229">
      <x:c r="A229" t="str">
        <x:v>604f9fcb-bab4-43f5-9fa5-137315d57050</x:v>
      </x:c>
      <x:c r="B229" t="str">
        <x:v>박철홍정형외과</x:v>
      </x:c>
      <x:c r="C229" t="str">
        <x:v>진보경</x:v>
      </x:c>
      <x:c r="D229" t="str">
        <x:v>연차(이력)</x:v>
      </x:c>
      <x:c r="E229" s="47" t="n">
        <x:v>46106</x:v>
      </x:c>
      <x:c r="F229" s="47" t="n">
        <x:v>46106</x:v>
      </x:c>
      <x:c r="G229" s="56"/>
      <x:c r="H229" t="str">
        <x:v>승인</x:v>
      </x:c>
      <x:c r="I229" t="str">
        <x:v>연차관리대장 일괄 반영(2026-05-14)</x:v>
      </x:c>
      <x:c r="J229" s="56" t="n">
        <x:f>IF(OR(ISNUMBER(SEARCH("반차",D229)),ISNUMBER(SEARCH("0.5",D229))),IF(G229&gt;0,G229,0.5),IF(AND(ISNUMBER(SEARCH("연차",D229)),NOT(ISNUMBER(SEARCH("부여",D229)))),IF(G229&lt;&gt;"",G229,MAX(1,F229-E229+1)),0))</x:f>
        <x:v>1</x:v>
      </x:c>
      <x:c r="K229" s="58" t="n">
        <x:v>46156</x:v>
      </x:c>
    </x:row>
    <x:row r="230">
      <x:c r="A230" t="str">
        <x:v>604f9fcb-bab4-43f5-9fa5-137315d57050</x:v>
      </x:c>
      <x:c r="B230" t="str">
        <x:v>박철홍정형외과</x:v>
      </x:c>
      <x:c r="C230" t="str">
        <x:v>진보경</x:v>
      </x:c>
      <x:c r="D230" t="str">
        <x:v>연차 (1.0)</x:v>
      </x:c>
      <x:c r="E230" s="47" t="n">
        <x:v>46175</x:v>
      </x:c>
      <x:c r="F230" s="47" t="n">
        <x:v>46175</x:v>
      </x:c>
      <x:c r="G230" s="56"/>
      <x:c r="H230" t="str">
        <x:v>승인</x:v>
      </x:c>
      <x:c r="I230" t="str">
        <x:v>2026.06.02 1일 연차 신청합니다.</x:v>
      </x:c>
      <x:c r="J230" s="56" t="n">
        <x:f>IF(OR(ISNUMBER(SEARCH("반차",D230)),ISNUMBER(SEARCH("0.5",D230))),IF(G230&gt;0,G230,0.5),IF(AND(ISNUMBER(SEARCH("연차",D230)),NOT(ISNUMBER(SEARCH("부여",D230)))),IF(G230&lt;&gt;"",G230,MAX(1,F230-E230+1)),0))</x:f>
        <x:v>1</x:v>
      </x:c>
      <x:c r="K230" s="58" t="n">
        <x:v>46174</x:v>
      </x:c>
    </x:row>
    <x:row r="231">
      <x:c r="A231" t="str">
        <x:v>604f9fcb-bab4-43f5-9fa5-137315d57050</x:v>
      </x:c>
      <x:c r="B231" t="str">
        <x:v>박철홍정형외과</x:v>
      </x:c>
      <x:c r="C231" t="str">
        <x:v>진보경</x:v>
      </x:c>
      <x:c r="D231" t="str">
        <x:v>연차(부여)</x:v>
      </x:c>
      <x:c r="E231" s="47" t="n">
        <x:v>46209</x:v>
      </x:c>
      <x:c r="F231" s="47" t="n">
        <x:v>46209</x:v>
      </x:c>
      <x:c r="G231" s="56" t="n">
        <x:v>0.5</x:v>
      </x:c>
      <x:c r="H231" t="str">
        <x:v>승인</x:v>
      </x:c>
      <x:c r="I231" t="str">
        <x:v>6/3(0.5)</x:v>
      </x:c>
      <x:c r="J231" s="56" t="n">
        <x:f>IF(OR(ISNUMBER(SEARCH("반차",D231)),ISNUMBER(SEARCH("0.5",D231))),IF(G231&gt;0,G231,0.5),IF(AND(ISNUMBER(SEARCH("연차",D231)),NOT(ISNUMBER(SEARCH("부여",D231)))),IF(G231&lt;&gt;"",G231,MAX(1,F231-E231+1)),0))</x:f>
        <x:v>0</x:v>
      </x:c>
      <x:c r="K231" s="58" t="n">
        <x:v>46209</x:v>
      </x:c>
    </x:row>
    <x:row r="232">
      <x:c r="A232" t="str">
        <x:v>ca0f216a-d22c-4036-8a7a-17f9f08889dd</x:v>
      </x:c>
      <x:c r="B232" t="str">
        <x:v>박철홍정형외과</x:v>
      </x:c>
      <x:c r="C232" t="str">
        <x:v>최민정</x:v>
      </x:c>
      <x:c r="D232" t="str">
        <x:v>연차(이력)</x:v>
      </x:c>
      <x:c r="E232" s="47" t="n">
        <x:v>45756</x:v>
      </x:c>
      <x:c r="F232" s="47" t="n">
        <x:v>45756</x:v>
      </x:c>
      <x:c r="G232" s="56"/>
      <x:c r="H232" t="str">
        <x:v>승인</x:v>
      </x:c>
      <x:c r="I232" t="str">
        <x:v>연차관리대장 일괄 반영(2026-05-14)</x:v>
      </x:c>
      <x:c r="J232" s="56" t="n">
        <x:f>IF(OR(ISNUMBER(SEARCH("반차",D232)),ISNUMBER(SEARCH("0.5",D232))),IF(G232&gt;0,G232,0.5),IF(AND(ISNUMBER(SEARCH("연차",D232)),NOT(ISNUMBER(SEARCH("부여",D232)))),IF(G232&lt;&gt;"",G232,MAX(1,F232-E232+1)),0))</x:f>
        <x:v>1</x:v>
      </x:c>
      <x:c r="K232" s="58" t="n">
        <x:v>46156</x:v>
      </x:c>
    </x:row>
    <x:row r="233">
      <x:c r="A233" t="str">
        <x:v>ca0f216a-d22c-4036-8a7a-17f9f08889dd</x:v>
      </x:c>
      <x:c r="B233" t="str">
        <x:v>박철홍정형외과</x:v>
      </x:c>
      <x:c r="C233" t="str">
        <x:v>최민정</x:v>
      </x:c>
      <x:c r="D233" t="str">
        <x:v>연차(이력)</x:v>
      </x:c>
      <x:c r="E233" s="47" t="n">
        <x:v>45934</x:v>
      </x:c>
      <x:c r="F233" s="47" t="n">
        <x:v>45934</x:v>
      </x:c>
      <x:c r="G233" s="56"/>
      <x:c r="H233" t="str">
        <x:v>승인</x:v>
      </x:c>
      <x:c r="I233" t="str">
        <x:v>연차관리대장 일괄 반영(2026-05-14)</x:v>
      </x:c>
      <x:c r="J233" s="56" t="n">
        <x:f>IF(OR(ISNUMBER(SEARCH("반차",D233)),ISNUMBER(SEARCH("0.5",D233))),IF(G233&gt;0,G233,0.5),IF(AND(ISNUMBER(SEARCH("연차",D233)),NOT(ISNUMBER(SEARCH("부여",D233)))),IF(G233&lt;&gt;"",G233,MAX(1,F233-E233+1)),0))</x:f>
        <x:v>1</x:v>
      </x:c>
      <x:c r="K233" s="58" t="n">
        <x:v>46156</x:v>
      </x:c>
    </x:row>
    <x:row r="234">
      <x:c r="A234" t="str">
        <x:v>ca0f216a-d22c-4036-8a7a-17f9f08889dd</x:v>
      </x:c>
      <x:c r="B234" t="str">
        <x:v>박철홍정형외과</x:v>
      </x:c>
      <x:c r="C234" t="str">
        <x:v>최민정</x:v>
      </x:c>
      <x:c r="D234" t="str">
        <x:v>연차(이력)</x:v>
      </x:c>
      <x:c r="E234" s="47" t="n">
        <x:v>45935</x:v>
      </x:c>
      <x:c r="F234" s="47" t="n">
        <x:v>45935</x:v>
      </x:c>
      <x:c r="G234" s="56"/>
      <x:c r="H234" t="str">
        <x:v>승인</x:v>
      </x:c>
      <x:c r="I234" t="str">
        <x:v>연차관리대장 일괄 반영(2026-05-14)</x:v>
      </x:c>
      <x:c r="J234" s="56" t="n">
        <x:f>IF(OR(ISNUMBER(SEARCH("반차",D234)),ISNUMBER(SEARCH("0.5",D234))),IF(G234&gt;0,G234,0.5),IF(AND(ISNUMBER(SEARCH("연차",D234)),NOT(ISNUMBER(SEARCH("부여",D234)))),IF(G234&lt;&gt;"",G234,MAX(1,F234-E234+1)),0))</x:f>
        <x:v>1</x:v>
      </x:c>
      <x:c r="K234" s="58" t="n">
        <x:v>46156</x:v>
      </x:c>
    </x:row>
    <x:row r="235">
      <x:c r="A235" t="str">
        <x:v>ca0f216a-d22c-4036-8a7a-17f9f08889dd</x:v>
      </x:c>
      <x:c r="B235" t="str">
        <x:v>박철홍정형외과</x:v>
      </x:c>
      <x:c r="C235" t="str">
        <x:v>최민정</x:v>
      </x:c>
      <x:c r="D235" t="str">
        <x:v>연차(이력)</x:v>
      </x:c>
      <x:c r="E235" s="47" t="n">
        <x:v>45990</x:v>
      </x:c>
      <x:c r="F235" s="47" t="n">
        <x:v>45990</x:v>
      </x:c>
      <x:c r="G235" s="56"/>
      <x:c r="H235" t="str">
        <x:v>승인</x:v>
      </x:c>
      <x:c r="I235" t="str">
        <x:v>연차관리대장 일괄 반영(2026-05-14)</x:v>
      </x:c>
      <x:c r="J235" s="56" t="n">
        <x:f>IF(OR(ISNUMBER(SEARCH("반차",D235)),ISNUMBER(SEARCH("0.5",D235))),IF(G235&gt;0,G235,0.5),IF(AND(ISNUMBER(SEARCH("연차",D235)),NOT(ISNUMBER(SEARCH("부여",D235)))),IF(G235&lt;&gt;"",G235,MAX(1,F235-E235+1)),0))</x:f>
        <x:v>1</x:v>
      </x:c>
      <x:c r="K235" s="58" t="n">
        <x:v>46156</x:v>
      </x:c>
    </x:row>
    <x:row r="236">
      <x:c r="A236" t="str">
        <x:v>ca0f216a-d22c-4036-8a7a-17f9f08889dd</x:v>
      </x:c>
      <x:c r="B236" t="str">
        <x:v>박철홍정형외과</x:v>
      </x:c>
      <x:c r="C236" t="str">
        <x:v>최민정</x:v>
      </x:c>
      <x:c r="D236" t="str">
        <x:v>연차(이력)</x:v>
      </x:c>
      <x:c r="E236" s="47" t="n">
        <x:v>45999</x:v>
      </x:c>
      <x:c r="F236" s="47" t="n">
        <x:v>45999</x:v>
      </x:c>
      <x:c r="G236" s="56"/>
      <x:c r="H236" t="str">
        <x:v>승인</x:v>
      </x:c>
      <x:c r="I236" t="str">
        <x:v>연차관리대장 일괄 반영(2026-05-14)</x:v>
      </x:c>
      <x:c r="J236" s="56" t="n">
        <x:f>IF(OR(ISNUMBER(SEARCH("반차",D236)),ISNUMBER(SEARCH("0.5",D236))),IF(G236&gt;0,G236,0.5),IF(AND(ISNUMBER(SEARCH("연차",D236)),NOT(ISNUMBER(SEARCH("부여",D236)))),IF(G236&lt;&gt;"",G236,MAX(1,F236-E236+1)),0))</x:f>
        <x:v>1</x:v>
      </x:c>
      <x:c r="K236" s="58" t="n">
        <x:v>46156</x:v>
      </x:c>
    </x:row>
    <x:row r="237">
      <x:c r="A237" t="str">
        <x:v>ca0f216a-d22c-4036-8a7a-17f9f08889dd</x:v>
      </x:c>
      <x:c r="B237" t="str">
        <x:v>박철홍정형외과</x:v>
      </x:c>
      <x:c r="C237" t="str">
        <x:v>최민정</x:v>
      </x:c>
      <x:c r="D237" t="str">
        <x:v>연차(이력)</x:v>
      </x:c>
      <x:c r="E237" s="47" t="n">
        <x:v>46009</x:v>
      </x:c>
      <x:c r="F237" s="47" t="n">
        <x:v>46009</x:v>
      </x:c>
      <x:c r="G237" s="56"/>
      <x:c r="H237" t="str">
        <x:v>승인</x:v>
      </x:c>
      <x:c r="I237" t="str">
        <x:v>연차관리대장 일괄 반영(2026-05-14)</x:v>
      </x:c>
      <x:c r="J237" s="56" t="n">
        <x:f>IF(OR(ISNUMBER(SEARCH("반차",D237)),ISNUMBER(SEARCH("0.5",D237))),IF(G237&gt;0,G237,0.5),IF(AND(ISNUMBER(SEARCH("연차",D237)),NOT(ISNUMBER(SEARCH("부여",D237)))),IF(G237&lt;&gt;"",G237,MAX(1,F237-E237+1)),0))</x:f>
        <x:v>1</x:v>
      </x:c>
      <x:c r="K237" s="58" t="n">
        <x:v>46156</x:v>
      </x:c>
    </x:row>
    <x:row r="238">
      <x:c r="A238" t="str">
        <x:v>ca0f216a-d22c-4036-8a7a-17f9f08889dd</x:v>
      </x:c>
      <x:c r="B238" t="str">
        <x:v>박철홍정형외과</x:v>
      </x:c>
      <x:c r="C238" t="str">
        <x:v>최민정</x:v>
      </x:c>
      <x:c r="D238" t="str">
        <x:v>연차</x:v>
      </x:c>
      <x:c r="E238" s="47" t="n">
        <x:v>46054</x:v>
      </x:c>
      <x:c r="F238" s="47" t="n">
        <x:v>46054</x:v>
      </x:c>
      <x:c r="G238" s="56"/>
      <x:c r="H238" t="str">
        <x:v>승인</x:v>
      </x:c>
      <x:c r="I238" t="str">
        <x:v>연차관리대장 일괄 반영(2026-05-14)</x:v>
      </x:c>
      <x:c r="J238" s="56" t="n">
        <x:f>IF(OR(ISNUMBER(SEARCH("반차",D238)),ISNUMBER(SEARCH("0.5",D238))),IF(G238&gt;0,G238,0.5),IF(AND(ISNUMBER(SEARCH("연차",D238)),NOT(ISNUMBER(SEARCH("부여",D238)))),IF(G238&lt;&gt;"",G238,MAX(1,F238-E238+1)),0))</x:f>
        <x:v>1</x:v>
      </x:c>
      <x:c r="K238" s="58" t="n">
        <x:v>46156</x:v>
      </x:c>
    </x:row>
    <x:row r="239">
      <x:c r="A239" t="str">
        <x:v>ca0f216a-d22c-4036-8a7a-17f9f08889dd</x:v>
      </x:c>
      <x:c r="B239" t="str">
        <x:v>박철홍정형외과</x:v>
      </x:c>
      <x:c r="C239" t="str">
        <x:v>최민정</x:v>
      </x:c>
      <x:c r="D239" t="str">
        <x:v>연차</x:v>
      </x:c>
      <x:c r="E239" s="47" t="n">
        <x:v>46079</x:v>
      </x:c>
      <x:c r="F239" s="47" t="n">
        <x:v>46079</x:v>
      </x:c>
      <x:c r="G239" s="56"/>
      <x:c r="H239" t="str">
        <x:v>승인</x:v>
      </x:c>
      <x:c r="I239" t="str">
        <x:v>연차관리대장 일괄 반영(2026-05-14)</x:v>
      </x:c>
      <x:c r="J239" s="56" t="n">
        <x:f>IF(OR(ISNUMBER(SEARCH("반차",D239)),ISNUMBER(SEARCH("0.5",D239))),IF(G239&gt;0,G239,0.5),IF(AND(ISNUMBER(SEARCH("연차",D239)),NOT(ISNUMBER(SEARCH("부여",D239)))),IF(G239&lt;&gt;"",G239,MAX(1,F239-E239+1)),0))</x:f>
        <x:v>1</x:v>
      </x:c>
      <x:c r="K239" s="58" t="n">
        <x:v>46156</x:v>
      </x:c>
    </x:row>
    <x:row r="240">
      <x:c r="A240" t="str">
        <x:v>ca0f216a-d22c-4036-8a7a-17f9f08889dd</x:v>
      </x:c>
      <x:c r="B240" t="str">
        <x:v>박철홍정형외과</x:v>
      </x:c>
      <x:c r="C240" t="str">
        <x:v>최민정</x:v>
      </x:c>
      <x:c r="D240" t="str">
        <x:v>연차(이력)</x:v>
      </x:c>
      <x:c r="E240" s="47" t="n">
        <x:v>46105</x:v>
      </x:c>
      <x:c r="F240" s="47" t="n">
        <x:v>46105</x:v>
      </x:c>
      <x:c r="G240" s="56"/>
      <x:c r="H240" t="str">
        <x:v>승인</x:v>
      </x:c>
      <x:c r="I240" t="str">
        <x:v>연차관리대장 일괄 반영(2026-05-14)</x:v>
      </x:c>
      <x:c r="J240" s="56" t="n">
        <x:f>IF(OR(ISNUMBER(SEARCH("반차",D240)),ISNUMBER(SEARCH("0.5",D240))),IF(G240&gt;0,G240,0.5),IF(AND(ISNUMBER(SEARCH("연차",D240)),NOT(ISNUMBER(SEARCH("부여",D240)))),IF(G240&lt;&gt;"",G240,MAX(1,F240-E240+1)),0))</x:f>
        <x:v>1</x:v>
      </x:c>
      <x:c r="K240" s="58" t="n">
        <x:v>46156</x:v>
      </x:c>
    </x:row>
    <x:row r="241">
      <x:c r="A241" t="str">
        <x:v>ca0f216a-d22c-4036-8a7a-17f9f08889dd</x:v>
      </x:c>
      <x:c r="B241" t="str">
        <x:v>박철홍정형외과</x:v>
      </x:c>
      <x:c r="C241" t="str">
        <x:v>최민정</x:v>
      </x:c>
      <x:c r="D241" t="str">
        <x:v>연차(이력)</x:v>
      </x:c>
      <x:c r="E241" s="47" t="n">
        <x:v>46108</x:v>
      </x:c>
      <x:c r="F241" s="47" t="n">
        <x:v>46108</x:v>
      </x:c>
      <x:c r="G241" s="56"/>
      <x:c r="H241" t="str">
        <x:v>승인</x:v>
      </x:c>
      <x:c r="I241" t="str">
        <x:v>연차관리대장 일괄 반영(2026-05-14)</x:v>
      </x:c>
      <x:c r="J241" s="56" t="n">
        <x:f>IF(OR(ISNUMBER(SEARCH("반차",D241)),ISNUMBER(SEARCH("0.5",D241))),IF(G241&gt;0,G241,0.5),IF(AND(ISNUMBER(SEARCH("연차",D241)),NOT(ISNUMBER(SEARCH("부여",D241)))),IF(G241&lt;&gt;"",G241,MAX(1,F241-E241+1)),0))</x:f>
        <x:v>1</x:v>
      </x:c>
      <x:c r="K241" s="58" t="n">
        <x:v>46156</x:v>
      </x:c>
    </x:row>
    <x:row r="242">
      <x:c r="A242" t="str">
        <x:v>ca0f216a-d22c-4036-8a7a-17f9f08889dd</x:v>
      </x:c>
      <x:c r="B242" t="str">
        <x:v>박철홍정형외과</x:v>
      </x:c>
      <x:c r="C242" t="str">
        <x:v>최민정</x:v>
      </x:c>
      <x:c r="D242" t="str">
        <x:v>연차(이력)</x:v>
      </x:c>
      <x:c r="E242" s="47" t="n">
        <x:v>46110</x:v>
      </x:c>
      <x:c r="F242" s="47" t="n">
        <x:v>46110</x:v>
      </x:c>
      <x:c r="G242" s="56"/>
      <x:c r="H242" t="str">
        <x:v>승인</x:v>
      </x:c>
      <x:c r="I242" t="str">
        <x:v>연차관리대장 일괄 반영(2026-05-14)</x:v>
      </x:c>
      <x:c r="J242" s="56" t="n">
        <x:f>IF(OR(ISNUMBER(SEARCH("반차",D242)),ISNUMBER(SEARCH("0.5",D242))),IF(G242&gt;0,G242,0.5),IF(AND(ISNUMBER(SEARCH("연차",D242)),NOT(ISNUMBER(SEARCH("부여",D242)))),IF(G242&lt;&gt;"",G242,MAX(1,F242-E242+1)),0))</x:f>
        <x:v>1</x:v>
      </x:c>
      <x:c r="K242" s="58" t="n">
        <x:v>46156</x:v>
      </x:c>
    </x:row>
    <x:row r="243">
      <x:c r="A243" t="str">
        <x:v>ca0f216a-d22c-4036-8a7a-17f9f08889dd</x:v>
      </x:c>
      <x:c r="B243" t="str">
        <x:v>박철홍정형외과</x:v>
      </x:c>
      <x:c r="C243" t="str">
        <x:v>최민정</x:v>
      </x:c>
      <x:c r="D243" t="str">
        <x:v>연차(이력)</x:v>
      </x:c>
      <x:c r="E243" s="47" t="n">
        <x:v>46111</x:v>
      </x:c>
      <x:c r="F243" s="47" t="n">
        <x:v>46111</x:v>
      </x:c>
      <x:c r="G243" s="56"/>
      <x:c r="H243" t="str">
        <x:v>승인</x:v>
      </x:c>
      <x:c r="I243" t="str">
        <x:v>연차관리대장 일괄 반영(2026-05-14)</x:v>
      </x:c>
      <x:c r="J243" s="56" t="n">
        <x:f>IF(OR(ISNUMBER(SEARCH("반차",D243)),ISNUMBER(SEARCH("0.5",D243))),IF(G243&gt;0,G243,0.5),IF(AND(ISNUMBER(SEARCH("연차",D243)),NOT(ISNUMBER(SEARCH("부여",D243)))),IF(G243&lt;&gt;"",G243,MAX(1,F243-E243+1)),0))</x:f>
        <x:v>1</x:v>
      </x:c>
      <x:c r="K243" s="58" t="n">
        <x:v>46156</x:v>
      </x:c>
    </x:row>
    <x:row r="244">
      <x:c r="A244" t="str">
        <x:v>ca0f216a-d22c-4036-8a7a-17f9f08889dd</x:v>
      </x:c>
      <x:c r="B244" t="str">
        <x:v>박철홍정형외과</x:v>
      </x:c>
      <x:c r="C244" t="str">
        <x:v>최민정</x:v>
      </x:c>
      <x:c r="D244" t="str">
        <x:v>연차(과거사용)</x:v>
      </x:c>
      <x:c r="E244" s="47" t="n">
        <x:v>46158</x:v>
      </x:c>
      <x:c r="F244" s="47" t="n">
        <x:v>46158</x:v>
      </x:c>
      <x:c r="G244" s="56"/>
      <x:c r="H244" t="str">
        <x:v>승인</x:v>
      </x:c>
      <x:c r="I244" t="str">
        <x:v>기사용/오류정정</x:v>
      </x:c>
      <x:c r="J244" s="56" t="n">
        <x:f>IF(OR(ISNUMBER(SEARCH("반차",D244)),ISNUMBER(SEARCH("0.5",D244))),IF(G244&gt;0,G244,0.5),IF(AND(ISNUMBER(SEARCH("연차",D244)),NOT(ISNUMBER(SEARCH("부여",D244)))),IF(G244&lt;&gt;"",G244,MAX(1,F244-E244+1)),0))</x:f>
        <x:v>1</x:v>
      </x:c>
      <x:c r="K244" s="58" t="n">
        <x:v>46199</x:v>
      </x:c>
    </x:row>
    <x:row r="245">
      <x:c r="A245" t="str">
        <x:v>3a9c25d2-2a29-4738-ae0a-b56e200a2990</x:v>
      </x:c>
      <x:c r="B245" t="str">
        <x:v>박철홍정형외과</x:v>
      </x:c>
      <x:c r="C245" t="str">
        <x:v>최찬</x:v>
      </x:c>
      <x:c r="D245" t="str">
        <x:v>연차(과거사용)</x:v>
      </x:c>
      <x:c r="E245" s="47" t="n">
        <x:v>46109</x:v>
      </x:c>
      <x:c r="F245" s="47" t="n">
        <x:v>46109</x:v>
      </x:c>
      <x:c r="G245" s="56" t="n">
        <x:v>1</x:v>
      </x:c>
      <x:c r="H245" t="str">
        <x:v>승인</x:v>
      </x:c>
      <x:c r="I245" t="str">
        <x:v>기사용</x:v>
      </x:c>
      <x:c r="J245" s="56" t="n">
        <x:f>IF(OR(ISNUMBER(SEARCH("반차",D245)),ISNUMBER(SEARCH("0.5",D245))),IF(G245&gt;0,G245,0.5),IF(AND(ISNUMBER(SEARCH("연차",D245)),NOT(ISNUMBER(SEARCH("부여",D245)))),IF(G245&lt;&gt;"",G245,MAX(1,F245-E245+1)),0))</x:f>
        <x:v>1</x:v>
      </x:c>
      <x:c r="K245" s="58" t="n">
        <x:v>46199</x:v>
      </x:c>
    </x:row>
    <x:row r="246">
      <x:c r="A246" t="str">
        <x:v>3a9c25d2-2a29-4738-ae0a-b56e200a2990</x:v>
      </x:c>
      <x:c r="B246" t="str">
        <x:v>박철홍정형외과</x:v>
      </x:c>
      <x:c r="C246" t="str">
        <x:v>최찬</x:v>
      </x:c>
      <x:c r="D246" t="str">
        <x:v>반차 (0.5)</x:v>
      </x:c>
      <x:c r="E246" s="47" t="n">
        <x:v>46158</x:v>
      </x:c>
      <x:c r="F246" s="47" t="n">
        <x:v>46158</x:v>
      </x:c>
      <x:c r="G246" s="56"/>
      <x:c r="H246" t="str">
        <x:v>승인</x:v>
      </x:c>
      <x:c r="I246" t="str">
        <x:v>개인 사유로 연사 신청합니다</x:v>
      </x:c>
      <x:c r="J246" s="56" t="n">
        <x:f>IF(OR(ISNUMBER(SEARCH("반차",D246)),ISNUMBER(SEARCH("0.5",D246))),IF(G246&gt;0,G246,0.5),IF(AND(ISNUMBER(SEARCH("연차",D246)),NOT(ISNUMBER(SEARCH("부여",D246)))),IF(G246&lt;&gt;"",G246,MAX(1,F246-E246+1)),0))</x:f>
        <x:v>0.5</x:v>
      </x:c>
      <x:c r="K246" s="58" t="n">
        <x:v>46155</x:v>
      </x:c>
    </x:row>
    <x:row r="247">
      <x:c r="A247" t="str">
        <x:v>3a9c25d2-2a29-4738-ae0a-b56e200a2990</x:v>
      </x:c>
      <x:c r="B247" t="str">
        <x:v>박철홍정형외과</x:v>
      </x:c>
      <x:c r="C247" t="str">
        <x:v>최찬</x:v>
      </x:c>
      <x:c r="D247" t="str">
        <x:v>반차 (0.5)</x:v>
      </x:c>
      <x:c r="E247" s="47" t="n">
        <x:v>46172</x:v>
      </x:c>
      <x:c r="F247" s="47" t="n">
        <x:v>46172</x:v>
      </x:c>
      <x:c r="G247" s="56"/>
      <x:c r="H247" t="str">
        <x:v>승인</x:v>
      </x:c>
      <x:c r="I247" t="str">
        <x:v>개인사유로 휴가 신청합니다</x:v>
      </x:c>
      <x:c r="J247" s="56" t="n">
        <x:f>IF(OR(ISNUMBER(SEARCH("반차",D247)),ISNUMBER(SEARCH("0.5",D247))),IF(G247&gt;0,G247,0.5),IF(AND(ISNUMBER(SEARCH("연차",D247)),NOT(ISNUMBER(SEARCH("부여",D247)))),IF(G247&lt;&gt;"",G247,MAX(1,F247-E247+1)),0))</x:f>
        <x:v>0.5</x:v>
      </x:c>
      <x:c r="K247" s="58" t="n">
        <x:v>46170</x:v>
      </x:c>
    </x:row>
    <x:row r="248">
      <x:c r="A248" t="str">
        <x:v>3a9c25d2-2a29-4738-ae0a-b56e200a2990</x:v>
      </x:c>
      <x:c r="B248" t="str">
        <x:v>박철홍정형외과</x:v>
      </x:c>
      <x:c r="C248" t="str">
        <x:v>최찬</x:v>
      </x:c>
      <x:c r="D248" t="str">
        <x:v>연차(과거사용)</x:v>
      </x:c>
      <x:c r="E248" s="47" t="n">
        <x:v>46219</x:v>
      </x:c>
      <x:c r="F248" s="47" t="n">
        <x:v>46219</x:v>
      </x:c>
      <x:c r="G248" s="56" t="n">
        <x:v>1</x:v>
      </x:c>
      <x:c r="H248" t="str">
        <x:v>승인</x:v>
      </x:c>
      <x:c r="I248" t="str">
        <x:v>2025년에 마이너스 연차 사용(1)</x:v>
      </x:c>
      <x:c r="J248" s="56" t="n">
        <x:f>IF(OR(ISNUMBER(SEARCH("반차",D248)),ISNUMBER(SEARCH("0.5",D248))),IF(G248&gt;0,G248,0.5),IF(AND(ISNUMBER(SEARCH("연차",D248)),NOT(ISNUMBER(SEARCH("부여",D248)))),IF(G248&lt;&gt;"",G248,MAX(1,F248-E248+1)),0))</x:f>
        <x:v>1</x:v>
      </x:c>
      <x:c r="K248" s="58" t="n">
        <x:v>46219</x:v>
      </x:c>
    </x:row>
    <x:row r="249">
      <x:c r="A249" t="str">
        <x:v>3a9c25d2-2a29-4738-ae0a-b56e200a2990</x:v>
      </x:c>
      <x:c r="B249" t="str">
        <x:v>박철홍정형외과</x:v>
      </x:c>
      <x:c r="C249" t="str">
        <x:v>최찬</x:v>
      </x:c>
      <x:c r="D249" t="str">
        <x:v>연차</x:v>
      </x:c>
      <x:c r="E249" s="47" t="n">
        <x:v>46247</x:v>
      </x:c>
      <x:c r="F249" s="47" t="n">
        <x:v>46247</x:v>
      </x:c>
      <x:c r="G249" s="56" t="n">
        <x:v>1</x:v>
      </x:c>
      <x:c r="H249" t="str">
        <x:v>승인</x:v>
      </x:c>
      <x:c r="I249" t="str">
        <x:v>개인사유로 휴가 신청합니다</x:v>
      </x:c>
      <x:c r="J249" s="56" t="n">
        <x:f>IF(OR(ISNUMBER(SEARCH("반차",D249)),ISNUMBER(SEARCH("0.5",D249))),IF(G249&gt;0,G249,0.5),IF(AND(ISNUMBER(SEARCH("연차",D249)),NOT(ISNUMBER(SEARCH("부여",D249)))),IF(G249&lt;&gt;"",G249,MAX(1,F249-E249+1)),0))</x:f>
        <x:v>1</x:v>
      </x:c>
      <x:c r="K249" s="58" t="n">
        <x:v>46223</x:v>
      </x:c>
    </x:row>
    <x:row r="250">
      <x:c r="A250" t="str">
        <x:v>3a9c25d2-2a29-4738-ae0a-b56e200a2990</x:v>
      </x:c>
      <x:c r="B250" t="str">
        <x:v>박철홍정형외과</x:v>
      </x:c>
      <x:c r="C250" t="str">
        <x:v>최찬</x:v>
      </x:c>
      <x:c r="D250" t="str">
        <x:v>연차</x:v>
      </x:c>
      <x:c r="E250" s="47" t="n">
        <x:v>46261</x:v>
      </x:c>
      <x:c r="F250" s="47" t="n">
        <x:v>46261</x:v>
      </x:c>
      <x:c r="G250" s="56" t="n">
        <x:v>1</x:v>
      </x:c>
      <x:c r="H250" t="str">
        <x:v>승인</x:v>
      </x:c>
      <x:c r="I250" t="str">
        <x:v>개인사유로 휴가 신청합니다</x:v>
      </x:c>
      <x:c r="J250" s="56" t="n">
        <x:f>IF(OR(ISNUMBER(SEARCH("반차",D250)),ISNUMBER(SEARCH("0.5",D250))),IF(G250&gt;0,G250,0.5),IF(AND(ISNUMBER(SEARCH("연차",D250)),NOT(ISNUMBER(SEARCH("부여",D250)))),IF(G250&lt;&gt;"",G250,MAX(1,F250-E250+1)),0))</x:f>
        <x:v>1</x:v>
      </x:c>
      <x:c r="K250" s="58" t="n">
        <x:v>46223</x:v>
      </x:c>
    </x:row>
    <x:row r="251">
      <x:c r="A251" t="str">
        <x:v>bc0ecd9d-9fd2-49b0-b042-6bb743538a6a</x:v>
      </x:c>
      <x:c r="B251" t="str">
        <x:v>박철홍정형외과</x:v>
      </x:c>
      <x:c r="C251" t="str">
        <x:v>하순정</x:v>
      </x:c>
      <x:c r="D251" t="str">
        <x:v>연차</x:v>
      </x:c>
      <x:c r="E251" s="47" t="n">
        <x:v>45857</x:v>
      </x:c>
      <x:c r="F251" s="47" t="n">
        <x:v>45857</x:v>
      </x:c>
      <x:c r="G251" s="56"/>
      <x:c r="H251" t="str">
        <x:v>승인</x:v>
      </x:c>
      <x:c r="I251" t="str">
        <x:v>연차관리대장 일괄 반영(2026-05-14)</x:v>
      </x:c>
      <x:c r="J251" s="56" t="n">
        <x:f>IF(OR(ISNUMBER(SEARCH("반차",D251)),ISNUMBER(SEARCH("0.5",D251))),IF(G251&gt;0,G251,0.5),IF(AND(ISNUMBER(SEARCH("연차",D251)),NOT(ISNUMBER(SEARCH("부여",D251)))),IF(G251&lt;&gt;"",G251,MAX(1,F251-E251+1)),0))</x:f>
        <x:v>1</x:v>
      </x:c>
      <x:c r="K251" s="58" t="n">
        <x:v>46156</x:v>
      </x:c>
    </x:row>
    <x:row r="252">
      <x:c r="A252" t="str">
        <x:v>bc0ecd9d-9fd2-49b0-b042-6bb743538a6a</x:v>
      </x:c>
      <x:c r="B252" t="str">
        <x:v>박철홍정형외과</x:v>
      </x:c>
      <x:c r="C252" t="str">
        <x:v>하순정</x:v>
      </x:c>
      <x:c r="D252" t="str">
        <x:v>연차</x:v>
      </x:c>
      <x:c r="E252" s="47" t="n">
        <x:v>45925</x:v>
      </x:c>
      <x:c r="F252" s="47" t="n">
        <x:v>45925</x:v>
      </x:c>
      <x:c r="G252" s="56"/>
      <x:c r="H252" t="str">
        <x:v>승인</x:v>
      </x:c>
      <x:c r="I252" t="str">
        <x:v>연차관리대장 일괄 반영(2026-05-14)</x:v>
      </x:c>
      <x:c r="J252" s="56" t="n">
        <x:f>IF(OR(ISNUMBER(SEARCH("반차",D252)),ISNUMBER(SEARCH("0.5",D252))),IF(G252&gt;0,G252,0.5),IF(AND(ISNUMBER(SEARCH("연차",D252)),NOT(ISNUMBER(SEARCH("부여",D252)))),IF(G252&lt;&gt;"",G252,MAX(1,F252-E252+1)),0))</x:f>
        <x:v>1</x:v>
      </x:c>
      <x:c r="K252" s="58" t="n">
        <x:v>46156</x:v>
      </x:c>
    </x:row>
    <x:row r="253">
      <x:c r="A253" t="str">
        <x:v>bc0ecd9d-9fd2-49b0-b042-6bb743538a6a</x:v>
      </x:c>
      <x:c r="B253" t="str">
        <x:v>박철홍정형외과</x:v>
      </x:c>
      <x:c r="C253" t="str">
        <x:v>하순정</x:v>
      </x:c>
      <x:c r="D253" t="str">
        <x:v>연차</x:v>
      </x:c>
      <x:c r="E253" s="47" t="n">
        <x:v>45926</x:v>
      </x:c>
      <x:c r="F253" s="47" t="n">
        <x:v>45926</x:v>
      </x:c>
      <x:c r="G253" s="56"/>
      <x:c r="H253" t="str">
        <x:v>승인</x:v>
      </x:c>
      <x:c r="I253" t="str">
        <x:v>연차관리대장 일괄 반영(2026-05-14)</x:v>
      </x:c>
      <x:c r="J253" s="56" t="n">
        <x:f>IF(OR(ISNUMBER(SEARCH("반차",D253)),ISNUMBER(SEARCH("0.5",D253))),IF(G253&gt;0,G253,0.5),IF(AND(ISNUMBER(SEARCH("연차",D253)),NOT(ISNUMBER(SEARCH("부여",D253)))),IF(G253&lt;&gt;"",G253,MAX(1,F253-E253+1)),0))</x:f>
        <x:v>1</x:v>
      </x:c>
      <x:c r="K253" s="58" t="n">
        <x:v>46156</x:v>
      </x:c>
    </x:row>
    <x:row r="254">
      <x:c r="A254" t="str">
        <x:v>bc0ecd9d-9fd2-49b0-b042-6bb743538a6a</x:v>
      </x:c>
      <x:c r="B254" t="str">
        <x:v>박철홍정형외과</x:v>
      </x:c>
      <x:c r="C254" t="str">
        <x:v>하순정</x:v>
      </x:c>
      <x:c r="D254" t="str">
        <x:v>연차</x:v>
      </x:c>
      <x:c r="E254" s="47" t="n">
        <x:v>45953</x:v>
      </x:c>
      <x:c r="F254" s="47" t="n">
        <x:v>45953</x:v>
      </x:c>
      <x:c r="G254" s="56"/>
      <x:c r="H254" t="str">
        <x:v>승인</x:v>
      </x:c>
      <x:c r="I254" t="str">
        <x:v>연차관리대장 일괄 반영(2026-05-14)</x:v>
      </x:c>
      <x:c r="J254" s="56" t="n">
        <x:f>IF(OR(ISNUMBER(SEARCH("반차",D254)),ISNUMBER(SEARCH("0.5",D254))),IF(G254&gt;0,G254,0.5),IF(AND(ISNUMBER(SEARCH("연차",D254)),NOT(ISNUMBER(SEARCH("부여",D254)))),IF(G254&lt;&gt;"",G254,MAX(1,F254-E254+1)),0))</x:f>
        <x:v>1</x:v>
      </x:c>
      <x:c r="K254" s="58" t="n">
        <x:v>46156</x:v>
      </x:c>
    </x:row>
    <x:row r="255">
      <x:c r="A255" t="str">
        <x:v>bc0ecd9d-9fd2-49b0-b042-6bb743538a6a</x:v>
      </x:c>
      <x:c r="B255" t="str">
        <x:v>박철홍정형외과</x:v>
      </x:c>
      <x:c r="C255" t="str">
        <x:v>하순정</x:v>
      </x:c>
      <x:c r="D255" t="str">
        <x:v>연차</x:v>
      </x:c>
      <x:c r="E255" s="47" t="n">
        <x:v>45995</x:v>
      </x:c>
      <x:c r="F255" s="47" t="n">
        <x:v>45995</x:v>
      </x:c>
      <x:c r="G255" s="56"/>
      <x:c r="H255" t="str">
        <x:v>승인</x:v>
      </x:c>
      <x:c r="I255" t="str">
        <x:v>연차관리대장 일괄 반영(2026-05-14)</x:v>
      </x:c>
      <x:c r="J255" s="56" t="n">
        <x:f>IF(OR(ISNUMBER(SEARCH("반차",D255)),ISNUMBER(SEARCH("0.5",D255))),IF(G255&gt;0,G255,0.5),IF(AND(ISNUMBER(SEARCH("연차",D255)),NOT(ISNUMBER(SEARCH("부여",D255)))),IF(G255&lt;&gt;"",G255,MAX(1,F255-E255+1)),0))</x:f>
        <x:v>1</x:v>
      </x:c>
      <x:c r="K255" s="58" t="n">
        <x:v>46156</x:v>
      </x:c>
    </x:row>
    <x:row r="256">
      <x:c r="A256" t="str">
        <x:v>bc0ecd9d-9fd2-49b0-b042-6bb743538a6a</x:v>
      </x:c>
      <x:c r="B256" t="str">
        <x:v>박철홍정형외과</x:v>
      </x:c>
      <x:c r="C256" t="str">
        <x:v>하순정</x:v>
      </x:c>
      <x:c r="D256" t="str">
        <x:v>연차</x:v>
      </x:c>
      <x:c r="E256" s="47" t="n">
        <x:v>45996</x:v>
      </x:c>
      <x:c r="F256" s="47" t="n">
        <x:v>45996</x:v>
      </x:c>
      <x:c r="G256" s="56"/>
      <x:c r="H256" t="str">
        <x:v>승인</x:v>
      </x:c>
      <x:c r="I256" t="str">
        <x:v>연차관리대장 일괄 반영(2026-05-14)</x:v>
      </x:c>
      <x:c r="J256" s="56" t="n">
        <x:f>IF(OR(ISNUMBER(SEARCH("반차",D256)),ISNUMBER(SEARCH("0.5",D256))),IF(G256&gt;0,G256,0.5),IF(AND(ISNUMBER(SEARCH("연차",D256)),NOT(ISNUMBER(SEARCH("부여",D256)))),IF(G256&lt;&gt;"",G256,MAX(1,F256-E256+1)),0))</x:f>
        <x:v>1</x:v>
      </x:c>
      <x:c r="K256" s="58" t="n">
        <x:v>46156</x:v>
      </x:c>
    </x:row>
    <x:row r="257">
      <x:c r="A257" t="str">
        <x:v>bc0ecd9d-9fd2-49b0-b042-6bb743538a6a</x:v>
      </x:c>
      <x:c r="B257" t="str">
        <x:v>박철홍정형외과</x:v>
      </x:c>
      <x:c r="C257" t="str">
        <x:v>하순정</x:v>
      </x:c>
      <x:c r="D257" t="str">
        <x:v>연차</x:v>
      </x:c>
      <x:c r="E257" s="47" t="n">
        <x:v>46053</x:v>
      </x:c>
      <x:c r="F257" s="47" t="n">
        <x:v>46053</x:v>
      </x:c>
      <x:c r="G257" s="56"/>
      <x:c r="H257" t="str">
        <x:v>승인</x:v>
      </x:c>
      <x:c r="I257" t="str">
        <x:v>연차관리대장 일괄 반영(2026-05-14)</x:v>
      </x:c>
      <x:c r="J257" s="56" t="n">
        <x:f>IF(OR(ISNUMBER(SEARCH("반차",D257)),ISNUMBER(SEARCH("0.5",D257))),IF(G257&gt;0,G257,0.5),IF(AND(ISNUMBER(SEARCH("연차",D257)),NOT(ISNUMBER(SEARCH("부여",D257)))),IF(G257&lt;&gt;"",G257,MAX(1,F257-E257+1)),0))</x:f>
        <x:v>1</x:v>
      </x:c>
      <x:c r="K257" s="58" t="n">
        <x:v>46156</x:v>
      </x:c>
    </x:row>
    <x:row r="258">
      <x:c r="A258" t="str">
        <x:v>bc0ecd9d-9fd2-49b0-b042-6bb743538a6a</x:v>
      </x:c>
      <x:c r="B258" t="str">
        <x:v>박철홍정형외과</x:v>
      </x:c>
      <x:c r="C258" t="str">
        <x:v>하순정</x:v>
      </x:c>
      <x:c r="D258" t="str">
        <x:v>연차 (1.0)</x:v>
      </x:c>
      <x:c r="E258" s="47" t="n">
        <x:v>46132</x:v>
      </x:c>
      <x:c r="F258" s="47" t="n">
        <x:v>46134</x:v>
      </x:c>
      <x:c r="G258" s="56"/>
      <x:c r="H258" t="str">
        <x:v>승인</x:v>
      </x:c>
      <x:c r="I258" t="str">
        <x:v>가족여행</x:v>
      </x:c>
      <x:c r="J258" s="56" t="n">
        <x:f>IF(OR(ISNUMBER(SEARCH("반차",D258)),ISNUMBER(SEARCH("0.5",D258))),IF(G258&gt;0,G258,0.5),IF(AND(ISNUMBER(SEARCH("연차",D258)),NOT(ISNUMBER(SEARCH("부여",D258)))),IF(G258&lt;&gt;"",G258,MAX(1,F258-E258+1)),0))</x:f>
        <x:v>3</x:v>
      </x:c>
      <x:c r="K258" s="58" t="n">
        <x:v>46126</x:v>
      </x:c>
    </x:row>
    <x:row r="259">
      <x:c r="A259" t="str">
        <x:v>bc0ecd9d-9fd2-49b0-b042-6bb743538a6a</x:v>
      </x:c>
      <x:c r="B259" t="str">
        <x:v>박철홍정형외과</x:v>
      </x:c>
      <x:c r="C259" t="str">
        <x:v>하순정</x:v>
      </x:c>
      <x:c r="D259" t="str">
        <x:v>연차</x:v>
      </x:c>
      <x:c r="E259" s="47" t="n">
        <x:v>46133</x:v>
      </x:c>
      <x:c r="F259" s="47" t="n">
        <x:v>46133</x:v>
      </x:c>
      <x:c r="G259" s="56"/>
      <x:c r="H259" t="str">
        <x:v>승인</x:v>
      </x:c>
      <x:c r="I259" t="str">
        <x:v>연차관리대장 일괄 반영(2026-05-14)</x:v>
      </x:c>
      <x:c r="J259" s="56" t="n">
        <x:f>IF(OR(ISNUMBER(SEARCH("반차",D259)),ISNUMBER(SEARCH("0.5",D259))),IF(G259&gt;0,G259,0.5),IF(AND(ISNUMBER(SEARCH("연차",D259)),NOT(ISNUMBER(SEARCH("부여",D259)))),IF(G259&lt;&gt;"",G259,MAX(1,F259-E259+1)),0))</x:f>
        <x:v>1</x:v>
      </x:c>
      <x:c r="K259" s="58" t="n">
        <x:v>46156</x:v>
      </x:c>
    </x:row>
    <x:row r="260">
      <x:c r="A260" t="str">
        <x:v>bc0ecd9d-9fd2-49b0-b042-6bb743538a6a</x:v>
      </x:c>
      <x:c r="B260" t="str">
        <x:v>박철홍정형외과</x:v>
      </x:c>
      <x:c r="C260" t="str">
        <x:v>하순정</x:v>
      </x:c>
      <x:c r="D260" t="str">
        <x:v>연차</x:v>
      </x:c>
      <x:c r="E260" s="47" t="n">
        <x:v>46134</x:v>
      </x:c>
      <x:c r="F260" s="47" t="n">
        <x:v>46134</x:v>
      </x:c>
      <x:c r="G260" s="56"/>
      <x:c r="H260" t="str">
        <x:v>승인</x:v>
      </x:c>
      <x:c r="I260" t="str">
        <x:v>연차관리대장 일괄 반영(2026-05-14)</x:v>
      </x:c>
      <x:c r="J260" s="56" t="n">
        <x:f>IF(OR(ISNUMBER(SEARCH("반차",D260)),ISNUMBER(SEARCH("0.5",D260))),IF(G260&gt;0,G260,0.5),IF(AND(ISNUMBER(SEARCH("연차",D260)),NOT(ISNUMBER(SEARCH("부여",D260)))),IF(G260&lt;&gt;"",G260,MAX(1,F260-E260+1)),0))</x:f>
        <x:v>1</x:v>
      </x:c>
      <x:c r="K260" s="58" t="n">
        <x:v>46156</x:v>
      </x:c>
    </x:row>
    <x:row r="261">
      <x:c r="A261" t="str">
        <x:v>bc0ecd9d-9fd2-49b0-b042-6bb743538a6a</x:v>
      </x:c>
      <x:c r="B261" t="str">
        <x:v>박철홍정형외과</x:v>
      </x:c>
      <x:c r="C261" t="str">
        <x:v>하순정</x:v>
      </x:c>
      <x:c r="D261" t="str">
        <x:v>연차 (1.0)</x:v>
      </x:c>
      <x:c r="E261" s="47" t="n">
        <x:v>46157</x:v>
      </x:c>
      <x:c r="F261" s="47" t="n">
        <x:v>46157</x:v>
      </x:c>
      <x:c r="G261" s="56"/>
      <x:c r="H261" t="str">
        <x:v>승인</x:v>
      </x:c>
      <x:c r="I261" t="str">
        <x:v>개인사정</x:v>
      </x:c>
      <x:c r="J261" s="56" t="n">
        <x:f>IF(OR(ISNUMBER(SEARCH("반차",D261)),ISNUMBER(SEARCH("0.5",D261))),IF(G261&gt;0,G261,0.5),IF(AND(ISNUMBER(SEARCH("연차",D261)),NOT(ISNUMBER(SEARCH("부여",D261)))),IF(G261&lt;&gt;"",G261,MAX(1,F261-E261+1)),0))</x:f>
        <x:v>1</x:v>
      </x:c>
      <x:c r="K261" s="58" t="n">
        <x:v>46154</x:v>
      </x:c>
    </x:row>
    <x:row r="262">
      <x:c r="A262" t="str">
        <x:v>bc0ecd9d-9fd2-49b0-b042-6bb743538a6a</x:v>
      </x:c>
      <x:c r="B262" t="str">
        <x:v>박철홍정형외과</x:v>
      </x:c>
      <x:c r="C262" t="str">
        <x:v>하순정</x:v>
      </x:c>
      <x:c r="D262" t="str">
        <x:v>연차</x:v>
      </x:c>
      <x:c r="E262" s="47" t="n">
        <x:v>46216</x:v>
      </x:c>
      <x:c r="F262" s="47" t="n">
        <x:v>46216</x:v>
      </x:c>
      <x:c r="G262" s="56" t="n">
        <x:v>1</x:v>
      </x:c>
      <x:c r="H262" t="str">
        <x:v>승인</x:v>
      </x:c>
      <x:c r="I262" t="str">
        <x:v>개인사유</x:v>
      </x:c>
      <x:c r="J262" s="56" t="n">
        <x:f>IF(OR(ISNUMBER(SEARCH("반차",D262)),ISNUMBER(SEARCH("0.5",D262))),IF(G262&gt;0,G262,0.5),IF(AND(ISNUMBER(SEARCH("연차",D262)),NOT(ISNUMBER(SEARCH("부여",D262)))),IF(G262&lt;&gt;"",G262,MAX(1,F262-E262+1)),0))</x:f>
        <x:v>1</x:v>
      </x:c>
      <x:c r="K262" s="58" t="n">
        <x:v>46225</x:v>
      </x:c>
    </x:row>
    <x:row r="263">
      <x:c r="A263" t="str">
        <x:v>bc0ecd9d-9fd2-49b0-b042-6bb743538a6a</x:v>
      </x:c>
      <x:c r="B263" t="str">
        <x:v>박철홍정형외과</x:v>
      </x:c>
      <x:c r="C263" t="str">
        <x:v>하순정</x:v>
      </x:c>
      <x:c r="D263" t="str">
        <x:v>연차 (1.0)</x:v>
      </x:c>
      <x:c r="E263" s="47" t="n">
        <x:v>46216</x:v>
      </x:c>
      <x:c r="F263" s="47" t="n">
        <x:v>46216</x:v>
      </x:c>
      <x:c r="G263" s="56" t="n">
        <x:v>1</x:v>
      </x:c>
      <x:c r="H263" t="str">
        <x:v>승인</x:v>
      </x:c>
      <x:c r="I263" t="str">
        <x:v>개인사유</x:v>
      </x:c>
      <x:c r="J263" s="56" t="n">
        <x:f>IF(OR(ISNUMBER(SEARCH("반차",D263)),ISNUMBER(SEARCH("0.5",D263))),IF(G263&gt;0,G263,0.5),IF(AND(ISNUMBER(SEARCH("연차",D263)),NOT(ISNUMBER(SEARCH("부여",D263)))),IF(G263&lt;&gt;"",G263,MAX(1,F263-E263+1)),0))</x:f>
        <x:v>1</x:v>
      </x:c>
      <x:c r="K263" s="58" t="n">
        <x:v>46213</x:v>
      </x:c>
    </x:row>
    <x:row r="264">
      <x:c r="A264" t="str">
        <x:v>123a8b0d-d041-426c-aa79-f891a2d687a7</x:v>
      </x:c>
      <x:c r="B264" t="str">
        <x:v>박철홍정형외과</x:v>
      </x:c>
      <x:c r="C264" t="str">
        <x:v>홍자비</x:v>
      </x:c>
      <x:c r="D264" t="str">
        <x:v>연차(이력)</x:v>
      </x:c>
      <x:c r="E264" s="47" t="n">
        <x:v>45293</x:v>
      </x:c>
      <x:c r="F264" s="47" t="n">
        <x:v>45293</x:v>
      </x:c>
      <x:c r="G264" s="56"/>
      <x:c r="H264" t="str">
        <x:v>승인</x:v>
      </x:c>
      <x:c r="I264" t="str">
        <x:v>연차관리대장 일괄 반영(2026-05-14)</x:v>
      </x:c>
      <x:c r="J264" s="56" t="n">
        <x:f>IF(OR(ISNUMBER(SEARCH("반차",D264)),ISNUMBER(SEARCH("0.5",D264))),IF(G264&gt;0,G264,0.5),IF(AND(ISNUMBER(SEARCH("연차",D264)),NOT(ISNUMBER(SEARCH("부여",D264)))),IF(G264&lt;&gt;"",G264,MAX(1,F264-E264+1)),0))</x:f>
        <x:v>1</x:v>
      </x:c>
      <x:c r="K264" s="58" t="n">
        <x:v>46156</x:v>
      </x:c>
    </x:row>
    <x:row r="265">
      <x:c r="A265" t="str">
        <x:v>123a8b0d-d041-426c-aa79-f891a2d687a7</x:v>
      </x:c>
      <x:c r="B265" t="str">
        <x:v>박철홍정형외과</x:v>
      </x:c>
      <x:c r="C265" t="str">
        <x:v>홍자비</x:v>
      </x:c>
      <x:c r="D265" t="str">
        <x:v>연차(이력)</x:v>
      </x:c>
      <x:c r="E265" s="47" t="n">
        <x:v>45309</x:v>
      </x:c>
      <x:c r="F265" s="47" t="n">
        <x:v>45309</x:v>
      </x:c>
      <x:c r="G265" s="56"/>
      <x:c r="H265" t="str">
        <x:v>승인</x:v>
      </x:c>
      <x:c r="I265" t="str">
        <x:v>연차관리대장 일괄 반영(2026-05-14)</x:v>
      </x:c>
      <x:c r="J265" s="56" t="n">
        <x:f>IF(OR(ISNUMBER(SEARCH("반차",D265)),ISNUMBER(SEARCH("0.5",D265))),IF(G265&gt;0,G265,0.5),IF(AND(ISNUMBER(SEARCH("연차",D265)),NOT(ISNUMBER(SEARCH("부여",D265)))),IF(G265&lt;&gt;"",G265,MAX(1,F265-E265+1)),0))</x:f>
        <x:v>1</x:v>
      </x:c>
      <x:c r="K265" s="58" t="n">
        <x:v>46156</x:v>
      </x:c>
    </x:row>
    <x:row r="266">
      <x:c r="A266" t="str">
        <x:v>123a8b0d-d041-426c-aa79-f891a2d687a7</x:v>
      </x:c>
      <x:c r="B266" t="str">
        <x:v>박철홍정형외과</x:v>
      </x:c>
      <x:c r="C266" t="str">
        <x:v>홍자비</x:v>
      </x:c>
      <x:c r="D266" t="str">
        <x:v>연차(이력)</x:v>
      </x:c>
      <x:c r="E266" s="47" t="n">
        <x:v>45338</x:v>
      </x:c>
      <x:c r="F266" s="47" t="n">
        <x:v>45338</x:v>
      </x:c>
      <x:c r="G266" s="56"/>
      <x:c r="H266" t="str">
        <x:v>승인</x:v>
      </x:c>
      <x:c r="I266" t="str">
        <x:v>연차관리대장 일괄 반영(2026-05-14)</x:v>
      </x:c>
      <x:c r="J266" s="56" t="n">
        <x:f>IF(OR(ISNUMBER(SEARCH("반차",D266)),ISNUMBER(SEARCH("0.5",D266))),IF(G266&gt;0,G266,0.5),IF(AND(ISNUMBER(SEARCH("연차",D266)),NOT(ISNUMBER(SEARCH("부여",D266)))),IF(G266&lt;&gt;"",G266,MAX(1,F266-E266+1)),0))</x:f>
        <x:v>1</x:v>
      </x:c>
      <x:c r="K266" s="58" t="n">
        <x:v>46156</x:v>
      </x:c>
    </x:row>
    <x:row r="267">
      <x:c r="A267" t="str">
        <x:v>123a8b0d-d041-426c-aa79-f891a2d687a7</x:v>
      </x:c>
      <x:c r="B267" t="str">
        <x:v>박철홍정형외과</x:v>
      </x:c>
      <x:c r="C267" t="str">
        <x:v>홍자비</x:v>
      </x:c>
      <x:c r="D267" t="str">
        <x:v>연차(이력)</x:v>
      </x:c>
      <x:c r="E267" s="47" t="n">
        <x:v>45386</x:v>
      </x:c>
      <x:c r="F267" s="47" t="n">
        <x:v>45386</x:v>
      </x:c>
      <x:c r="G267" s="56"/>
      <x:c r="H267" t="str">
        <x:v>승인</x:v>
      </x:c>
      <x:c r="I267" t="str">
        <x:v>연차관리대장 일괄 반영(2026-05-14)</x:v>
      </x:c>
      <x:c r="J267" s="56" t="n">
        <x:f>IF(OR(ISNUMBER(SEARCH("반차",D267)),ISNUMBER(SEARCH("0.5",D267))),IF(G267&gt;0,G267,0.5),IF(AND(ISNUMBER(SEARCH("연차",D267)),NOT(ISNUMBER(SEARCH("부여",D267)))),IF(G267&lt;&gt;"",G267,MAX(1,F267-E267+1)),0))</x:f>
        <x:v>1</x:v>
      </x:c>
      <x:c r="K267" s="58" t="n">
        <x:v>46156</x:v>
      </x:c>
    </x:row>
    <x:row r="268">
      <x:c r="A268" t="str">
        <x:v>123a8b0d-d041-426c-aa79-f891a2d687a7</x:v>
      </x:c>
      <x:c r="B268" t="str">
        <x:v>박철홍정형외과</x:v>
      </x:c>
      <x:c r="C268" t="str">
        <x:v>홍자비</x:v>
      </x:c>
      <x:c r="D268" t="str">
        <x:v>연차(이력)</x:v>
      </x:c>
      <x:c r="E268" s="47" t="n">
        <x:v>45421</x:v>
      </x:c>
      <x:c r="F268" s="47" t="n">
        <x:v>45421</x:v>
      </x:c>
      <x:c r="G268" s="56"/>
      <x:c r="H268" t="str">
        <x:v>승인</x:v>
      </x:c>
      <x:c r="I268" t="str">
        <x:v>연차관리대장 일괄 반영(2026-05-14)</x:v>
      </x:c>
      <x:c r="J268" s="56" t="n">
        <x:f>IF(OR(ISNUMBER(SEARCH("반차",D268)),ISNUMBER(SEARCH("0.5",D268))),IF(G268&gt;0,G268,0.5),IF(AND(ISNUMBER(SEARCH("연차",D268)),NOT(ISNUMBER(SEARCH("부여",D268)))),IF(G268&lt;&gt;"",G268,MAX(1,F268-E268+1)),0))</x:f>
        <x:v>1</x:v>
      </x:c>
      <x:c r="K268" s="58" t="n">
        <x:v>46156</x:v>
      </x:c>
    </x:row>
    <x:row r="269">
      <x:c r="A269" t="str">
        <x:v>123a8b0d-d041-426c-aa79-f891a2d687a7</x:v>
      </x:c>
      <x:c r="B269" t="str">
        <x:v>박철홍정형외과</x:v>
      </x:c>
      <x:c r="C269" t="str">
        <x:v>홍자비</x:v>
      </x:c>
      <x:c r="D269" t="str">
        <x:v>연차(이력)</x:v>
      </x:c>
      <x:c r="E269" s="47" t="n">
        <x:v>45469</x:v>
      </x:c>
      <x:c r="F269" s="47" t="n">
        <x:v>45469</x:v>
      </x:c>
      <x:c r="G269" s="56"/>
      <x:c r="H269" t="str">
        <x:v>승인</x:v>
      </x:c>
      <x:c r="I269" t="str">
        <x:v>연차관리대장 일괄 반영(2026-05-14)</x:v>
      </x:c>
      <x:c r="J269" s="56" t="n">
        <x:f>IF(OR(ISNUMBER(SEARCH("반차",D269)),ISNUMBER(SEARCH("0.5",D269))),IF(G269&gt;0,G269,0.5),IF(AND(ISNUMBER(SEARCH("연차",D269)),NOT(ISNUMBER(SEARCH("부여",D269)))),IF(G269&lt;&gt;"",G269,MAX(1,F269-E269+1)),0))</x:f>
        <x:v>1</x:v>
      </x:c>
      <x:c r="K269" s="58" t="n">
        <x:v>46156</x:v>
      </x:c>
    </x:row>
    <x:row r="270">
      <x:c r="A270" t="str">
        <x:v>123a8b0d-d041-426c-aa79-f891a2d687a7</x:v>
      </x:c>
      <x:c r="B270" t="str">
        <x:v>박철홍정형외과</x:v>
      </x:c>
      <x:c r="C270" t="str">
        <x:v>홍자비</x:v>
      </x:c>
      <x:c r="D270" t="str">
        <x:v>연차(이력)</x:v>
      </x:c>
      <x:c r="E270" s="47" t="n">
        <x:v>45478</x:v>
      </x:c>
      <x:c r="F270" s="47" t="n">
        <x:v>45478</x:v>
      </x:c>
      <x:c r="G270" s="56"/>
      <x:c r="H270" t="str">
        <x:v>승인</x:v>
      </x:c>
      <x:c r="I270" t="str">
        <x:v>연차관리대장 일괄 반영(2026-05-14)</x:v>
      </x:c>
      <x:c r="J270" s="56" t="n">
        <x:f>IF(OR(ISNUMBER(SEARCH("반차",D270)),ISNUMBER(SEARCH("0.5",D270))),IF(G270&gt;0,G270,0.5),IF(AND(ISNUMBER(SEARCH("연차",D270)),NOT(ISNUMBER(SEARCH("부여",D270)))),IF(G270&lt;&gt;"",G270,MAX(1,F270-E270+1)),0))</x:f>
        <x:v>1</x:v>
      </x:c>
      <x:c r="K270" s="58" t="n">
        <x:v>46156</x:v>
      </x:c>
    </x:row>
    <x:row r="271">
      <x:c r="A271" t="str">
        <x:v>123a8b0d-d041-426c-aa79-f891a2d687a7</x:v>
      </x:c>
      <x:c r="B271" t="str">
        <x:v>박철홍정형외과</x:v>
      </x:c>
      <x:c r="C271" t="str">
        <x:v>홍자비</x:v>
      </x:c>
      <x:c r="D271" t="str">
        <x:v>연차(이력)</x:v>
      </x:c>
      <x:c r="E271" s="47" t="n">
        <x:v>45505</x:v>
      </x:c>
      <x:c r="F271" s="47" t="n">
        <x:v>45505</x:v>
      </x:c>
      <x:c r="G271" s="56"/>
      <x:c r="H271" t="str">
        <x:v>승인</x:v>
      </x:c>
      <x:c r="I271" t="str">
        <x:v>연차관리대장 일괄 반영(2026-05-14)</x:v>
      </x:c>
      <x:c r="J271" s="56" t="n">
        <x:f>IF(OR(ISNUMBER(SEARCH("반차",D271)),ISNUMBER(SEARCH("0.5",D271))),IF(G271&gt;0,G271,0.5),IF(AND(ISNUMBER(SEARCH("연차",D271)),NOT(ISNUMBER(SEARCH("부여",D271)))),IF(G271&lt;&gt;"",G271,MAX(1,F271-E271+1)),0))</x:f>
        <x:v>1</x:v>
      </x:c>
      <x:c r="K271" s="58" t="n">
        <x:v>46156</x:v>
      </x:c>
    </x:row>
    <x:row r="272">
      <x:c r="A272" t="str">
        <x:v>123a8b0d-d041-426c-aa79-f891a2d687a7</x:v>
      </x:c>
      <x:c r="B272" t="str">
        <x:v>박철홍정형외과</x:v>
      </x:c>
      <x:c r="C272" t="str">
        <x:v>홍자비</x:v>
      </x:c>
      <x:c r="D272" t="str">
        <x:v>연차(이력)</x:v>
      </x:c>
      <x:c r="E272" s="47" t="n">
        <x:v>45526</x:v>
      </x:c>
      <x:c r="F272" s="47" t="n">
        <x:v>45526</x:v>
      </x:c>
      <x:c r="G272" s="56"/>
      <x:c r="H272" t="str">
        <x:v>승인</x:v>
      </x:c>
      <x:c r="I272" t="str">
        <x:v>연차관리대장 일괄 반영(2026-05-14)</x:v>
      </x:c>
      <x:c r="J272" s="56" t="n">
        <x:f>IF(OR(ISNUMBER(SEARCH("반차",D272)),ISNUMBER(SEARCH("0.5",D272))),IF(G272&gt;0,G272,0.5),IF(AND(ISNUMBER(SEARCH("연차",D272)),NOT(ISNUMBER(SEARCH("부여",D272)))),IF(G272&lt;&gt;"",G272,MAX(1,F272-E272+1)),0))</x:f>
        <x:v>1</x:v>
      </x:c>
      <x:c r="K272" s="58" t="n">
        <x:v>46156</x:v>
      </x:c>
    </x:row>
    <x:row r="273">
      <x:c r="A273" t="str">
        <x:v>123a8b0d-d041-426c-aa79-f891a2d687a7</x:v>
      </x:c>
      <x:c r="B273" t="str">
        <x:v>박철홍정형외과</x:v>
      </x:c>
      <x:c r="C273" t="str">
        <x:v>홍자비</x:v>
      </x:c>
      <x:c r="D273" t="str">
        <x:v>연차(이력)</x:v>
      </x:c>
      <x:c r="E273" s="47" t="n">
        <x:v>45527</x:v>
      </x:c>
      <x:c r="F273" s="47" t="n">
        <x:v>45527</x:v>
      </x:c>
      <x:c r="G273" s="56"/>
      <x:c r="H273" t="str">
        <x:v>승인</x:v>
      </x:c>
      <x:c r="I273" t="str">
        <x:v>연차관리대장 일괄 반영(2026-05-14)</x:v>
      </x:c>
      <x:c r="J273" s="56" t="n">
        <x:f>IF(OR(ISNUMBER(SEARCH("반차",D273)),ISNUMBER(SEARCH("0.5",D273))),IF(G273&gt;0,G273,0.5),IF(AND(ISNUMBER(SEARCH("연차",D273)),NOT(ISNUMBER(SEARCH("부여",D273)))),IF(G273&lt;&gt;"",G273,MAX(1,F273-E273+1)),0))</x:f>
        <x:v>1</x:v>
      </x:c>
      <x:c r="K273" s="58" t="n">
        <x:v>46156</x:v>
      </x:c>
    </x:row>
    <x:row r="274">
      <x:c r="A274" t="str">
        <x:v>123a8b0d-d041-426c-aa79-f891a2d687a7</x:v>
      </x:c>
      <x:c r="B274" t="str">
        <x:v>박철홍정형외과</x:v>
      </x:c>
      <x:c r="C274" t="str">
        <x:v>홍자비</x:v>
      </x:c>
      <x:c r="D274" t="str">
        <x:v>연차(이력)</x:v>
      </x:c>
      <x:c r="E274" s="47" t="n">
        <x:v>45546</x:v>
      </x:c>
      <x:c r="F274" s="47" t="n">
        <x:v>45546</x:v>
      </x:c>
      <x:c r="G274" s="56"/>
      <x:c r="H274" t="str">
        <x:v>승인</x:v>
      </x:c>
      <x:c r="I274" t="str">
        <x:v>연차관리대장 일괄 반영(2026-05-14)</x:v>
      </x:c>
      <x:c r="J274" s="56" t="n">
        <x:f>IF(OR(ISNUMBER(SEARCH("반차",D274)),ISNUMBER(SEARCH("0.5",D274))),IF(G274&gt;0,G274,0.5),IF(AND(ISNUMBER(SEARCH("연차",D274)),NOT(ISNUMBER(SEARCH("부여",D274)))),IF(G274&lt;&gt;"",G274,MAX(1,F274-E274+1)),0))</x:f>
        <x:v>1</x:v>
      </x:c>
      <x:c r="K274" s="58" t="n">
        <x:v>46156</x:v>
      </x:c>
    </x:row>
    <x:row r="275">
      <x:c r="A275" t="str">
        <x:v>123a8b0d-d041-426c-aa79-f891a2d687a7</x:v>
      </x:c>
      <x:c r="B275" t="str">
        <x:v>박철홍정형외과</x:v>
      </x:c>
      <x:c r="C275" t="str">
        <x:v>홍자비</x:v>
      </x:c>
      <x:c r="D275" t="str">
        <x:v>연차(이력)</x:v>
      </x:c>
      <x:c r="E275" s="47" t="n">
        <x:v>45581</x:v>
      </x:c>
      <x:c r="F275" s="47" t="n">
        <x:v>45581</x:v>
      </x:c>
      <x:c r="G275" s="56"/>
      <x:c r="H275" t="str">
        <x:v>승인</x:v>
      </x:c>
      <x:c r="I275" t="str">
        <x:v>연차관리대장 일괄 반영(2026-05-14)</x:v>
      </x:c>
      <x:c r="J275" s="56" t="n">
        <x:f>IF(OR(ISNUMBER(SEARCH("반차",D275)),ISNUMBER(SEARCH("0.5",D275))),IF(G275&gt;0,G275,0.5),IF(AND(ISNUMBER(SEARCH("연차",D275)),NOT(ISNUMBER(SEARCH("부여",D275)))),IF(G275&lt;&gt;"",G275,MAX(1,F275-E275+1)),0))</x:f>
        <x:v>1</x:v>
      </x:c>
      <x:c r="K275" s="58" t="n">
        <x:v>46156</x:v>
      </x:c>
    </x:row>
    <x:row r="276">
      <x:c r="A276" t="str">
        <x:v>123a8b0d-d041-426c-aa79-f891a2d687a7</x:v>
      </x:c>
      <x:c r="B276" t="str">
        <x:v>박철홍정형외과</x:v>
      </x:c>
      <x:c r="C276" t="str">
        <x:v>홍자비</x:v>
      </x:c>
      <x:c r="D276" t="str">
        <x:v>연차(이력)</x:v>
      </x:c>
      <x:c r="E276" s="47" t="n">
        <x:v>45623</x:v>
      </x:c>
      <x:c r="F276" s="47" t="n">
        <x:v>45623</x:v>
      </x:c>
      <x:c r="G276" s="56"/>
      <x:c r="H276" t="str">
        <x:v>승인</x:v>
      </x:c>
      <x:c r="I276" t="str">
        <x:v>연차관리대장 일괄 반영(2026-05-14)</x:v>
      </x:c>
      <x:c r="J276" s="56" t="n">
        <x:f>IF(OR(ISNUMBER(SEARCH("반차",D276)),ISNUMBER(SEARCH("0.5",D276))),IF(G276&gt;0,G276,0.5),IF(AND(ISNUMBER(SEARCH("연차",D276)),NOT(ISNUMBER(SEARCH("부여",D276)))),IF(G276&lt;&gt;"",G276,MAX(1,F276-E276+1)),0))</x:f>
        <x:v>1</x:v>
      </x:c>
      <x:c r="K276" s="58" t="n">
        <x:v>46156</x:v>
      </x:c>
    </x:row>
    <x:row r="277">
      <x:c r="A277" t="str">
        <x:v>123a8b0d-d041-426c-aa79-f891a2d687a7</x:v>
      </x:c>
      <x:c r="B277" t="str">
        <x:v>박철홍정형외과</x:v>
      </x:c>
      <x:c r="C277" t="str">
        <x:v>홍자비</x:v>
      </x:c>
      <x:c r="D277" t="str">
        <x:v>연차(이력)</x:v>
      </x:c>
      <x:c r="E277" s="47" t="n">
        <x:v>45639</x:v>
      </x:c>
      <x:c r="F277" s="47" t="n">
        <x:v>45639</x:v>
      </x:c>
      <x:c r="G277" s="56"/>
      <x:c r="H277" t="str">
        <x:v>승인</x:v>
      </x:c>
      <x:c r="I277" t="str">
        <x:v>연차관리대장 일괄 반영(2026-05-14)</x:v>
      </x:c>
      <x:c r="J277" s="56" t="n">
        <x:f>IF(OR(ISNUMBER(SEARCH("반차",D277)),ISNUMBER(SEARCH("0.5",D277))),IF(G277&gt;0,G277,0.5),IF(AND(ISNUMBER(SEARCH("연차",D277)),NOT(ISNUMBER(SEARCH("부여",D277)))),IF(G277&lt;&gt;"",G277,MAX(1,F277-E277+1)),0))</x:f>
        <x:v>1</x:v>
      </x:c>
      <x:c r="K277" s="58" t="n">
        <x:v>46156</x:v>
      </x:c>
    </x:row>
    <x:row r="278">
      <x:c r="A278" t="str">
        <x:v>123a8b0d-d041-426c-aa79-f891a2d687a7</x:v>
      </x:c>
      <x:c r="B278" t="str">
        <x:v>박철홍정형외과</x:v>
      </x:c>
      <x:c r="C278" t="str">
        <x:v>홍자비</x:v>
      </x:c>
      <x:c r="D278" t="str">
        <x:v>연차(이력)</x:v>
      </x:c>
      <x:c r="E278" s="47" t="n">
        <x:v>45649</x:v>
      </x:c>
      <x:c r="F278" s="47" t="n">
        <x:v>45649</x:v>
      </x:c>
      <x:c r="G278" s="56"/>
      <x:c r="H278" t="str">
        <x:v>승인</x:v>
      </x:c>
      <x:c r="I278" t="str">
        <x:v>연차관리대장 일괄 반영(2026-05-14)</x:v>
      </x:c>
      <x:c r="J278" s="56" t="n">
        <x:f>IF(OR(ISNUMBER(SEARCH("반차",D278)),ISNUMBER(SEARCH("0.5",D278))),IF(G278&gt;0,G278,0.5),IF(AND(ISNUMBER(SEARCH("연차",D278)),NOT(ISNUMBER(SEARCH("부여",D278)))),IF(G278&lt;&gt;"",G278,MAX(1,F278-E278+1)),0))</x:f>
        <x:v>1</x:v>
      </x:c>
      <x:c r="K278" s="58" t="n">
        <x:v>46156</x:v>
      </x:c>
    </x:row>
    <x:row r="279">
      <x:c r="A279" t="str">
        <x:v>123a8b0d-d041-426c-aa79-f891a2d687a7</x:v>
      </x:c>
      <x:c r="B279" t="str">
        <x:v>박철홍정형외과</x:v>
      </x:c>
      <x:c r="C279" t="str">
        <x:v>홍자비</x:v>
      </x:c>
      <x:c r="D279" t="str">
        <x:v>연차(이력)</x:v>
      </x:c>
      <x:c r="E279" s="47" t="n">
        <x:v>45666</x:v>
      </x:c>
      <x:c r="F279" s="47" t="n">
        <x:v>45666</x:v>
      </x:c>
      <x:c r="G279" s="56"/>
      <x:c r="H279" t="str">
        <x:v>승인</x:v>
      </x:c>
      <x:c r="I279" t="str">
        <x:v>연차관리대장 일괄 반영(2026-05-14)</x:v>
      </x:c>
      <x:c r="J279" s="56" t="n">
        <x:f>IF(OR(ISNUMBER(SEARCH("반차",D279)),ISNUMBER(SEARCH("0.5",D279))),IF(G279&gt;0,G279,0.5),IF(AND(ISNUMBER(SEARCH("연차",D279)),NOT(ISNUMBER(SEARCH("부여",D279)))),IF(G279&lt;&gt;"",G279,MAX(1,F279-E279+1)),0))</x:f>
        <x:v>1</x:v>
      </x:c>
      <x:c r="K279" s="58" t="n">
        <x:v>46156</x:v>
      </x:c>
    </x:row>
    <x:row r="280">
      <x:c r="A280" t="str">
        <x:v>123a8b0d-d041-426c-aa79-f891a2d687a7</x:v>
      </x:c>
      <x:c r="B280" t="str">
        <x:v>박철홍정형외과</x:v>
      </x:c>
      <x:c r="C280" t="str">
        <x:v>홍자비</x:v>
      </x:c>
      <x:c r="D280" t="str">
        <x:v>연차(이력)</x:v>
      </x:c>
      <x:c r="E280" s="47" t="n">
        <x:v>45670</x:v>
      </x:c>
      <x:c r="F280" s="47" t="n">
        <x:v>45670</x:v>
      </x:c>
      <x:c r="G280" s="56"/>
      <x:c r="H280" t="str">
        <x:v>승인</x:v>
      </x:c>
      <x:c r="I280" t="str">
        <x:v>연차관리대장 일괄 반영(2026-05-14)</x:v>
      </x:c>
      <x:c r="J280" s="56" t="n">
        <x:f>IF(OR(ISNUMBER(SEARCH("반차",D280)),ISNUMBER(SEARCH("0.5",D280))),IF(G280&gt;0,G280,0.5),IF(AND(ISNUMBER(SEARCH("연차",D280)),NOT(ISNUMBER(SEARCH("부여",D280)))),IF(G280&lt;&gt;"",G280,MAX(1,F280-E280+1)),0))</x:f>
        <x:v>1</x:v>
      </x:c>
      <x:c r="K280" s="58" t="n">
        <x:v>46156</x:v>
      </x:c>
    </x:row>
    <x:row r="281">
      <x:c r="A281" t="str">
        <x:v>123a8b0d-d041-426c-aa79-f891a2d687a7</x:v>
      </x:c>
      <x:c r="B281" t="str">
        <x:v>박철홍정형외과</x:v>
      </x:c>
      <x:c r="C281" t="str">
        <x:v>홍자비</x:v>
      </x:c>
      <x:c r="D281" t="str">
        <x:v>연차(이력)</x:v>
      </x:c>
      <x:c r="E281" s="47" t="n">
        <x:v>45691</x:v>
      </x:c>
      <x:c r="F281" s="47" t="n">
        <x:v>45691</x:v>
      </x:c>
      <x:c r="G281" s="56"/>
      <x:c r="H281" t="str">
        <x:v>승인</x:v>
      </x:c>
      <x:c r="I281" t="str">
        <x:v>연차관리대장 일괄 반영(2026-05-14)</x:v>
      </x:c>
      <x:c r="J281" s="56" t="n">
        <x:f>IF(OR(ISNUMBER(SEARCH("반차",D281)),ISNUMBER(SEARCH("0.5",D281))),IF(G281&gt;0,G281,0.5),IF(AND(ISNUMBER(SEARCH("연차",D281)),NOT(ISNUMBER(SEARCH("부여",D281)))),IF(G281&lt;&gt;"",G281,MAX(1,F281-E281+1)),0))</x:f>
        <x:v>1</x:v>
      </x:c>
      <x:c r="K281" s="58" t="n">
        <x:v>46156</x:v>
      </x:c>
    </x:row>
    <x:row r="282">
      <x:c r="A282" t="str">
        <x:v>123a8b0d-d041-426c-aa79-f891a2d687a7</x:v>
      </x:c>
      <x:c r="B282" t="str">
        <x:v>박철홍정형외과</x:v>
      </x:c>
      <x:c r="C282" t="str">
        <x:v>홍자비</x:v>
      </x:c>
      <x:c r="D282" t="str">
        <x:v>연차(이력)</x:v>
      </x:c>
      <x:c r="E282" s="47" t="n">
        <x:v>45706</x:v>
      </x:c>
      <x:c r="F282" s="47" t="n">
        <x:v>45706</x:v>
      </x:c>
      <x:c r="G282" s="56"/>
      <x:c r="H282" t="str">
        <x:v>승인</x:v>
      </x:c>
      <x:c r="I282" t="str">
        <x:v>연차관리대장 일괄 반영(2026-05-14)</x:v>
      </x:c>
      <x:c r="J282" s="56" t="n">
        <x:f>IF(OR(ISNUMBER(SEARCH("반차",D282)),ISNUMBER(SEARCH("0.5",D282))),IF(G282&gt;0,G282,0.5),IF(AND(ISNUMBER(SEARCH("연차",D282)),NOT(ISNUMBER(SEARCH("부여",D282)))),IF(G282&lt;&gt;"",G282,MAX(1,F282-E282+1)),0))</x:f>
        <x:v>1</x:v>
      </x:c>
      <x:c r="K282" s="58" t="n">
        <x:v>46156</x:v>
      </x:c>
    </x:row>
    <x:row r="283">
      <x:c r="A283" t="str">
        <x:v>123a8b0d-d041-426c-aa79-f891a2d687a7</x:v>
      </x:c>
      <x:c r="B283" t="str">
        <x:v>박철홍정형외과</x:v>
      </x:c>
      <x:c r="C283" t="str">
        <x:v>홍자비</x:v>
      </x:c>
      <x:c r="D283" t="str">
        <x:v>연차(이력)</x:v>
      </x:c>
      <x:c r="E283" s="47" t="n">
        <x:v>45762</x:v>
      </x:c>
      <x:c r="F283" s="47" t="n">
        <x:v>45762</x:v>
      </x:c>
      <x:c r="G283" s="56"/>
      <x:c r="H283" t="str">
        <x:v>승인</x:v>
      </x:c>
      <x:c r="I283" t="str">
        <x:v>연차관리대장 일괄 반영(2026-05-14)</x:v>
      </x:c>
      <x:c r="J283" s="56" t="n">
        <x:f>IF(OR(ISNUMBER(SEARCH("반차",D283)),ISNUMBER(SEARCH("0.5",D283))),IF(G283&gt;0,G283,0.5),IF(AND(ISNUMBER(SEARCH("연차",D283)),NOT(ISNUMBER(SEARCH("부여",D283)))),IF(G283&lt;&gt;"",G283,MAX(1,F283-E283+1)),0))</x:f>
        <x:v>1</x:v>
      </x:c>
      <x:c r="K283" s="58" t="n">
        <x:v>46156</x:v>
      </x:c>
    </x:row>
    <x:row r="284">
      <x:c r="A284" t="str">
        <x:v>123a8b0d-d041-426c-aa79-f891a2d687a7</x:v>
      </x:c>
      <x:c r="B284" t="str">
        <x:v>박철홍정형외과</x:v>
      </x:c>
      <x:c r="C284" t="str">
        <x:v>홍자비</x:v>
      </x:c>
      <x:c r="D284" t="str">
        <x:v>연차(이력)</x:v>
      </x:c>
      <x:c r="E284" s="47" t="n">
        <x:v>45790</x:v>
      </x:c>
      <x:c r="F284" s="47" t="n">
        <x:v>45790</x:v>
      </x:c>
      <x:c r="G284" s="56"/>
      <x:c r="H284" t="str">
        <x:v>승인</x:v>
      </x:c>
      <x:c r="I284" t="str">
        <x:v>연차관리대장 일괄 반영(2026-05-14)</x:v>
      </x:c>
      <x:c r="J284" s="56" t="n">
        <x:f>IF(OR(ISNUMBER(SEARCH("반차",D284)),ISNUMBER(SEARCH("0.5",D284))),IF(G284&gt;0,G284,0.5),IF(AND(ISNUMBER(SEARCH("연차",D284)),NOT(ISNUMBER(SEARCH("부여",D284)))),IF(G284&lt;&gt;"",G284,MAX(1,F284-E284+1)),0))</x:f>
        <x:v>1</x:v>
      </x:c>
      <x:c r="K284" s="58" t="n">
        <x:v>46156</x:v>
      </x:c>
    </x:row>
    <x:row r="285">
      <x:c r="A285" t="str">
        <x:v>123a8b0d-d041-426c-aa79-f891a2d687a7</x:v>
      </x:c>
      <x:c r="B285" t="str">
        <x:v>박철홍정형외과</x:v>
      </x:c>
      <x:c r="C285" t="str">
        <x:v>홍자비</x:v>
      </x:c>
      <x:c r="D285" t="str">
        <x:v>연차(이력)</x:v>
      </x:c>
      <x:c r="E285" s="47" t="n">
        <x:v>45804</x:v>
      </x:c>
      <x:c r="F285" s="47" t="n">
        <x:v>45804</x:v>
      </x:c>
      <x:c r="G285" s="56"/>
      <x:c r="H285" t="str">
        <x:v>승인</x:v>
      </x:c>
      <x:c r="I285" t="str">
        <x:v>연차관리대장 일괄 반영(2026-05-14)</x:v>
      </x:c>
      <x:c r="J285" s="56" t="n">
        <x:f>IF(OR(ISNUMBER(SEARCH("반차",D285)),ISNUMBER(SEARCH("0.5",D285))),IF(G285&gt;0,G285,0.5),IF(AND(ISNUMBER(SEARCH("연차",D285)),NOT(ISNUMBER(SEARCH("부여",D285)))),IF(G285&lt;&gt;"",G285,MAX(1,F285-E285+1)),0))</x:f>
        <x:v>1</x:v>
      </x:c>
      <x:c r="K285" s="58" t="n">
        <x:v>46156</x:v>
      </x:c>
    </x:row>
    <x:row r="286">
      <x:c r="A286" t="str">
        <x:v>123a8b0d-d041-426c-aa79-f891a2d687a7</x:v>
      </x:c>
      <x:c r="B286" t="str">
        <x:v>박철홍정형외과</x:v>
      </x:c>
      <x:c r="C286" t="str">
        <x:v>홍자비</x:v>
      </x:c>
      <x:c r="D286" t="str">
        <x:v>연차(이력)</x:v>
      </x:c>
      <x:c r="E286" s="47" t="n">
        <x:v>45869</x:v>
      </x:c>
      <x:c r="F286" s="47" t="n">
        <x:v>45869</x:v>
      </x:c>
      <x:c r="G286" s="56"/>
      <x:c r="H286" t="str">
        <x:v>승인</x:v>
      </x:c>
      <x:c r="I286" t="str">
        <x:v>연차관리대장 일괄 반영(2026-05-14)</x:v>
      </x:c>
      <x:c r="J286" s="56" t="n">
        <x:f>IF(OR(ISNUMBER(SEARCH("반차",D286)),ISNUMBER(SEARCH("0.5",D286))),IF(G286&gt;0,G286,0.5),IF(AND(ISNUMBER(SEARCH("연차",D286)),NOT(ISNUMBER(SEARCH("부여",D286)))),IF(G286&lt;&gt;"",G286,MAX(1,F286-E286+1)),0))</x:f>
        <x:v>1</x:v>
      </x:c>
      <x:c r="K286" s="58" t="n">
        <x:v>46156</x:v>
      </x:c>
    </x:row>
    <x:row r="287">
      <x:c r="A287" t="str">
        <x:v>123a8b0d-d041-426c-aa79-f891a2d687a7</x:v>
      </x:c>
      <x:c r="B287" t="str">
        <x:v>박철홍정형외과</x:v>
      </x:c>
      <x:c r="C287" t="str">
        <x:v>홍자비</x:v>
      </x:c>
      <x:c r="D287" t="str">
        <x:v>연차(이력)</x:v>
      </x:c>
      <x:c r="E287" s="47" t="n">
        <x:v>45873</x:v>
      </x:c>
      <x:c r="F287" s="47" t="n">
        <x:v>45873</x:v>
      </x:c>
      <x:c r="G287" s="56"/>
      <x:c r="H287" t="str">
        <x:v>승인</x:v>
      </x:c>
      <x:c r="I287" t="str">
        <x:v>연차관리대장 일괄 반영(2026-05-14)</x:v>
      </x:c>
      <x:c r="J287" s="56" t="n">
        <x:f>IF(OR(ISNUMBER(SEARCH("반차",D287)),ISNUMBER(SEARCH("0.5",D287))),IF(G287&gt;0,G287,0.5),IF(AND(ISNUMBER(SEARCH("연차",D287)),NOT(ISNUMBER(SEARCH("부여",D287)))),IF(G287&lt;&gt;"",G287,MAX(1,F287-E287+1)),0))</x:f>
        <x:v>1</x:v>
      </x:c>
      <x:c r="K287" s="58" t="n">
        <x:v>46156</x:v>
      </x:c>
    </x:row>
    <x:row r="288">
      <x:c r="A288" t="str">
        <x:v>123a8b0d-d041-426c-aa79-f891a2d687a7</x:v>
      </x:c>
      <x:c r="B288" t="str">
        <x:v>박철홍정형외과</x:v>
      </x:c>
      <x:c r="C288" t="str">
        <x:v>홍자비</x:v>
      </x:c>
      <x:c r="D288" t="str">
        <x:v>연차(이력)</x:v>
      </x:c>
      <x:c r="E288" s="47" t="n">
        <x:v>45887</x:v>
      </x:c>
      <x:c r="F288" s="47" t="n">
        <x:v>45887</x:v>
      </x:c>
      <x:c r="G288" s="56"/>
      <x:c r="H288" t="str">
        <x:v>승인</x:v>
      </x:c>
      <x:c r="I288" t="str">
        <x:v>연차관리대장 일괄 반영(2026-05-14)</x:v>
      </x:c>
      <x:c r="J288" s="56" t="n">
        <x:f>IF(OR(ISNUMBER(SEARCH("반차",D288)),ISNUMBER(SEARCH("0.5",D288))),IF(G288&gt;0,G288,0.5),IF(AND(ISNUMBER(SEARCH("연차",D288)),NOT(ISNUMBER(SEARCH("부여",D288)))),IF(G288&lt;&gt;"",G288,MAX(1,F288-E288+1)),0))</x:f>
        <x:v>1</x:v>
      </x:c>
      <x:c r="K288" s="58" t="n">
        <x:v>46156</x:v>
      </x:c>
    </x:row>
    <x:row r="289">
      <x:c r="A289" t="str">
        <x:v>123a8b0d-d041-426c-aa79-f891a2d687a7</x:v>
      </x:c>
      <x:c r="B289" t="str">
        <x:v>박철홍정형외과</x:v>
      </x:c>
      <x:c r="C289" t="str">
        <x:v>홍자비</x:v>
      </x:c>
      <x:c r="D289" t="str">
        <x:v>연차(이력)</x:v>
      </x:c>
      <x:c r="E289" s="47" t="n">
        <x:v>45911</x:v>
      </x:c>
      <x:c r="F289" s="47" t="n">
        <x:v>45911</x:v>
      </x:c>
      <x:c r="G289" s="56"/>
      <x:c r="H289" t="str">
        <x:v>승인</x:v>
      </x:c>
      <x:c r="I289" t="str">
        <x:v>연차관리대장 일괄 반영(2026-05-14)</x:v>
      </x:c>
      <x:c r="J289" s="56" t="n">
        <x:f>IF(OR(ISNUMBER(SEARCH("반차",D289)),ISNUMBER(SEARCH("0.5",D289))),IF(G289&gt;0,G289,0.5),IF(AND(ISNUMBER(SEARCH("연차",D289)),NOT(ISNUMBER(SEARCH("부여",D289)))),IF(G289&lt;&gt;"",G289,MAX(1,F289-E289+1)),0))</x:f>
        <x:v>1</x:v>
      </x:c>
      <x:c r="K289" s="58" t="n">
        <x:v>46156</x:v>
      </x:c>
    </x:row>
    <x:row r="290">
      <x:c r="A290" t="str">
        <x:v>123a8b0d-d041-426c-aa79-f891a2d687a7</x:v>
      </x:c>
      <x:c r="B290" t="str">
        <x:v>박철홍정형외과</x:v>
      </x:c>
      <x:c r="C290" t="str">
        <x:v>홍자비</x:v>
      </x:c>
      <x:c r="D290" t="str">
        <x:v>연차(이력)</x:v>
      </x:c>
      <x:c r="E290" s="47" t="n">
        <x:v>45912</x:v>
      </x:c>
      <x:c r="F290" s="47" t="n">
        <x:v>45912</x:v>
      </x:c>
      <x:c r="G290" s="56"/>
      <x:c r="H290" t="str">
        <x:v>승인</x:v>
      </x:c>
      <x:c r="I290" t="str">
        <x:v>연차관리대장 일괄 반영(2026-05-14)</x:v>
      </x:c>
      <x:c r="J290" s="56" t="n">
        <x:f>IF(OR(ISNUMBER(SEARCH("반차",D290)),ISNUMBER(SEARCH("0.5",D290))),IF(G290&gt;0,G290,0.5),IF(AND(ISNUMBER(SEARCH("연차",D290)),NOT(ISNUMBER(SEARCH("부여",D290)))),IF(G290&lt;&gt;"",G290,MAX(1,F290-E290+1)),0))</x:f>
        <x:v>1</x:v>
      </x:c>
      <x:c r="K290" s="58" t="n">
        <x:v>46156</x:v>
      </x:c>
    </x:row>
    <x:row r="291">
      <x:c r="A291" t="str">
        <x:v>123a8b0d-d041-426c-aa79-f891a2d687a7</x:v>
      </x:c>
      <x:c r="B291" t="str">
        <x:v>박철홍정형외과</x:v>
      </x:c>
      <x:c r="C291" t="str">
        <x:v>홍자비</x:v>
      </x:c>
      <x:c r="D291" t="str">
        <x:v>연차(이력)</x:v>
      </x:c>
      <x:c r="E291" s="47" t="n">
        <x:v>45953</x:v>
      </x:c>
      <x:c r="F291" s="47" t="n">
        <x:v>45953</x:v>
      </x:c>
      <x:c r="G291" s="56"/>
      <x:c r="H291" t="str">
        <x:v>승인</x:v>
      </x:c>
      <x:c r="I291" t="str">
        <x:v>연차관리대장 일괄 반영(2026-05-14)</x:v>
      </x:c>
      <x:c r="J291" s="56" t="n">
        <x:f>IF(OR(ISNUMBER(SEARCH("반차",D291)),ISNUMBER(SEARCH("0.5",D291))),IF(G291&gt;0,G291,0.5),IF(AND(ISNUMBER(SEARCH("연차",D291)),NOT(ISNUMBER(SEARCH("부여",D291)))),IF(G291&lt;&gt;"",G291,MAX(1,F291-E291+1)),0))</x:f>
        <x:v>1</x:v>
      </x:c>
      <x:c r="K291" s="58" t="n">
        <x:v>46156</x:v>
      </x:c>
    </x:row>
    <x:row r="292">
      <x:c r="A292" t="str">
        <x:v>123a8b0d-d041-426c-aa79-f891a2d687a7</x:v>
      </x:c>
      <x:c r="B292" t="str">
        <x:v>박철홍정형외과</x:v>
      </x:c>
      <x:c r="C292" t="str">
        <x:v>홍자비</x:v>
      </x:c>
      <x:c r="D292" t="str">
        <x:v>연차</x:v>
      </x:c>
      <x:c r="E292" s="47" t="n">
        <x:v>45959</x:v>
      </x:c>
      <x:c r="F292" s="47" t="n">
        <x:v>45959</x:v>
      </x:c>
      <x:c r="G292" s="56"/>
      <x:c r="H292" t="str">
        <x:v>승인</x:v>
      </x:c>
      <x:c r="I292" t="str">
        <x:v>연차관리대장 일괄 반영(2026-05-14)</x:v>
      </x:c>
      <x:c r="J292" s="56" t="n">
        <x:f>IF(OR(ISNUMBER(SEARCH("반차",D292)),ISNUMBER(SEARCH("0.5",D292))),IF(G292&gt;0,G292,0.5),IF(AND(ISNUMBER(SEARCH("연차",D292)),NOT(ISNUMBER(SEARCH("부여",D292)))),IF(G292&lt;&gt;"",G292,MAX(1,F292-E292+1)),0))</x:f>
        <x:v>1</x:v>
      </x:c>
      <x:c r="K292" s="58" t="n">
        <x:v>46156</x:v>
      </x:c>
    </x:row>
    <x:row r="293">
      <x:c r="A293" t="str">
        <x:v>123a8b0d-d041-426c-aa79-f891a2d687a7</x:v>
      </x:c>
      <x:c r="B293" t="str">
        <x:v>박철홍정형외과</x:v>
      </x:c>
      <x:c r="C293" t="str">
        <x:v>홍자비</x:v>
      </x:c>
      <x:c r="D293" t="str">
        <x:v>연차</x:v>
      </x:c>
      <x:c r="E293" s="47" t="n">
        <x:v>45974</x:v>
      </x:c>
      <x:c r="F293" s="47" t="n">
        <x:v>45974</x:v>
      </x:c>
      <x:c r="G293" s="56"/>
      <x:c r="H293" t="str">
        <x:v>승인</x:v>
      </x:c>
      <x:c r="I293" t="str">
        <x:v>연차관리대장 일괄 반영(2026-05-14)</x:v>
      </x:c>
      <x:c r="J293" s="56" t="n">
        <x:f>IF(OR(ISNUMBER(SEARCH("반차",D293)),ISNUMBER(SEARCH("0.5",D293))),IF(G293&gt;0,G293,0.5),IF(AND(ISNUMBER(SEARCH("연차",D293)),NOT(ISNUMBER(SEARCH("부여",D293)))),IF(G293&lt;&gt;"",G293,MAX(1,F293-E293+1)),0))</x:f>
        <x:v>1</x:v>
      </x:c>
      <x:c r="K293" s="58" t="n">
        <x:v>46156</x:v>
      </x:c>
    </x:row>
    <x:row r="294">
      <x:c r="A294" t="str">
        <x:v>123a8b0d-d041-426c-aa79-f891a2d687a7</x:v>
      </x:c>
      <x:c r="B294" t="str">
        <x:v>박철홍정형외과</x:v>
      </x:c>
      <x:c r="C294" t="str">
        <x:v>홍자비</x:v>
      </x:c>
      <x:c r="D294" t="str">
        <x:v>연차</x:v>
      </x:c>
      <x:c r="E294" s="47" t="n">
        <x:v>46014</x:v>
      </x:c>
      <x:c r="F294" s="47" t="n">
        <x:v>46014</x:v>
      </x:c>
      <x:c r="G294" s="56"/>
      <x:c r="H294" t="str">
        <x:v>승인</x:v>
      </x:c>
      <x:c r="I294" t="str">
        <x:v>연차관리대장 일괄 반영(2026-05-14)</x:v>
      </x:c>
      <x:c r="J294" s="56" t="n">
        <x:f>IF(OR(ISNUMBER(SEARCH("반차",D294)),ISNUMBER(SEARCH("0.5",D294))),IF(G294&gt;0,G294,0.5),IF(AND(ISNUMBER(SEARCH("연차",D294)),NOT(ISNUMBER(SEARCH("부여",D294)))),IF(G294&lt;&gt;"",G294,MAX(1,F294-E294+1)),0))</x:f>
        <x:v>1</x:v>
      </x:c>
      <x:c r="K294" s="58" t="n">
        <x:v>46156</x:v>
      </x:c>
    </x:row>
    <x:row r="295">
      <x:c r="A295" t="str">
        <x:v>123a8b0d-d041-426c-aa79-f891a2d687a7</x:v>
      </x:c>
      <x:c r="B295" t="str">
        <x:v>박철홍정형외과</x:v>
      </x:c>
      <x:c r="C295" t="str">
        <x:v>홍자비</x:v>
      </x:c>
      <x:c r="D295" t="str">
        <x:v>연차</x:v>
      </x:c>
      <x:c r="E295" s="47" t="n">
        <x:v>46020</x:v>
      </x:c>
      <x:c r="F295" s="47" t="n">
        <x:v>46020</x:v>
      </x:c>
      <x:c r="G295" s="56"/>
      <x:c r="H295" t="str">
        <x:v>승인</x:v>
      </x:c>
      <x:c r="I295" t="str">
        <x:v>연차관리대장 일괄 반영(2026-05-14)</x:v>
      </x:c>
      <x:c r="J295" s="56" t="n">
        <x:f>IF(OR(ISNUMBER(SEARCH("반차",D295)),ISNUMBER(SEARCH("0.5",D295))),IF(G295&gt;0,G295,0.5),IF(AND(ISNUMBER(SEARCH("연차",D295)),NOT(ISNUMBER(SEARCH("부여",D295)))),IF(G295&lt;&gt;"",G295,MAX(1,F295-E295+1)),0))</x:f>
        <x:v>1</x:v>
      </x:c>
      <x:c r="K295" s="58" t="n">
        <x:v>46156</x:v>
      </x:c>
    </x:row>
    <x:row r="296">
      <x:c r="A296" t="str">
        <x:v>123a8b0d-d041-426c-aa79-f891a2d687a7</x:v>
      </x:c>
      <x:c r="B296" t="str">
        <x:v>박철홍정형외과</x:v>
      </x:c>
      <x:c r="C296" t="str">
        <x:v>홍자비</x:v>
      </x:c>
      <x:c r="D296" t="str">
        <x:v>연차</x:v>
      </x:c>
      <x:c r="E296" s="47" t="n">
        <x:v>46057</x:v>
      </x:c>
      <x:c r="F296" s="47" t="n">
        <x:v>46057</x:v>
      </x:c>
      <x:c r="G296" s="56"/>
      <x:c r="H296" t="str">
        <x:v>승인</x:v>
      </x:c>
      <x:c r="I296" t="str">
        <x:v>연차관리대장 일괄 반영(2026-05-14)</x:v>
      </x:c>
      <x:c r="J296" s="56" t="n">
        <x:f>IF(OR(ISNUMBER(SEARCH("반차",D296)),ISNUMBER(SEARCH("0.5",D296))),IF(G296&gt;0,G296,0.5),IF(AND(ISNUMBER(SEARCH("연차",D296)),NOT(ISNUMBER(SEARCH("부여",D296)))),IF(G296&lt;&gt;"",G296,MAX(1,F296-E296+1)),0))</x:f>
        <x:v>1</x:v>
      </x:c>
      <x:c r="K296" s="58" t="n">
        <x:v>46156</x:v>
      </x:c>
    </x:row>
    <x:row r="297">
      <x:c r="A297" t="str">
        <x:v>123a8b0d-d041-426c-aa79-f891a2d687a7</x:v>
      </x:c>
      <x:c r="B297" t="str">
        <x:v>박철홍정형외과</x:v>
      </x:c>
      <x:c r="C297" t="str">
        <x:v>홍자비</x:v>
      </x:c>
      <x:c r="D297" t="str">
        <x:v>연차</x:v>
      </x:c>
      <x:c r="E297" s="47" t="n">
        <x:v>46084</x:v>
      </x:c>
      <x:c r="F297" s="47" t="n">
        <x:v>46084</x:v>
      </x:c>
      <x:c r="G297" s="56"/>
      <x:c r="H297" t="str">
        <x:v>승인</x:v>
      </x:c>
      <x:c r="I297" t="str">
        <x:v>연차관리대장 일괄 반영(2026-05-14)</x:v>
      </x:c>
      <x:c r="J297" s="56" t="n">
        <x:f>IF(OR(ISNUMBER(SEARCH("반차",D297)),ISNUMBER(SEARCH("0.5",D297))),IF(G297&gt;0,G297,0.5),IF(AND(ISNUMBER(SEARCH("연차",D297)),NOT(ISNUMBER(SEARCH("부여",D297)))),IF(G297&lt;&gt;"",G297,MAX(1,F297-E297+1)),0))</x:f>
        <x:v>1</x:v>
      </x:c>
      <x:c r="K297" s="58" t="n">
        <x:v>46156</x:v>
      </x:c>
    </x:row>
    <x:row r="298">
      <x:c r="A298" t="str">
        <x:v>123a8b0d-d041-426c-aa79-f891a2d687a7</x:v>
      </x:c>
      <x:c r="B298" t="str">
        <x:v>박철홍정형외과</x:v>
      </x:c>
      <x:c r="C298" t="str">
        <x:v>홍자비</x:v>
      </x:c>
      <x:c r="D298" t="str">
        <x:v>연차(과거사용)</x:v>
      </x:c>
      <x:c r="E298" s="47" t="n">
        <x:v>46098</x:v>
      </x:c>
      <x:c r="F298" s="47" t="n">
        <x:v>46098</x:v>
      </x:c>
      <x:c r="G298" s="56" t="n">
        <x:v>0.5</x:v>
      </x:c>
      <x:c r="H298" t="str">
        <x:v>승인</x:v>
      </x:c>
      <x:c r="I298" t="str">
        <x:v>기사용</x:v>
      </x:c>
      <x:c r="J298" s="56" t="n">
        <x:f>IF(OR(ISNUMBER(SEARCH("반차",D298)),ISNUMBER(SEARCH("0.5",D298))),IF(G298&gt;0,G298,0.5),IF(AND(ISNUMBER(SEARCH("연차",D298)),NOT(ISNUMBER(SEARCH("부여",D298)))),IF(G298&lt;&gt;"",G298,MAX(1,F298-E298+1)),0))</x:f>
        <x:v>0.5</x:v>
      </x:c>
      <x:c r="K298" s="58" t="n">
        <x:v>46199</x:v>
      </x:c>
    </x:row>
    <x:row r="299">
      <x:c r="A299" t="str">
        <x:v>123a8b0d-d041-426c-aa79-f891a2d687a7</x:v>
      </x:c>
      <x:c r="B299" t="str">
        <x:v>박철홍정형외과</x:v>
      </x:c>
      <x:c r="C299" t="str">
        <x:v>홍자비</x:v>
      </x:c>
      <x:c r="D299" t="str">
        <x:v>연차</x:v>
      </x:c>
      <x:c r="E299" s="47" t="n">
        <x:v>46107</x:v>
      </x:c>
      <x:c r="F299" s="47" t="n">
        <x:v>46107</x:v>
      </x:c>
      <x:c r="G299" s="56"/>
      <x:c r="H299" t="str">
        <x:v>승인</x:v>
      </x:c>
      <x:c r="I299" t="str">
        <x:v>연차관리대장 일괄 반영(2026-05-14)</x:v>
      </x:c>
      <x:c r="J299" s="56" t="n">
        <x:f>IF(OR(ISNUMBER(SEARCH("반차",D299)),ISNUMBER(SEARCH("0.5",D299))),IF(G299&gt;0,G299,0.5),IF(AND(ISNUMBER(SEARCH("연차",D299)),NOT(ISNUMBER(SEARCH("부여",D299)))),IF(G299&lt;&gt;"",G299,MAX(1,F299-E299+1)),0))</x:f>
        <x:v>1</x:v>
      </x:c>
      <x:c r="K299" s="58" t="n">
        <x:v>46156</x:v>
      </x:c>
    </x:row>
    <x:row r="300">
      <x:c r="A300" t="str">
        <x:v>123a8b0d-d041-426c-aa79-f891a2d687a7</x:v>
      </x:c>
      <x:c r="B300" t="str">
        <x:v>박철홍정형외과</x:v>
      </x:c>
      <x:c r="C300" t="str">
        <x:v>홍자비</x:v>
      </x:c>
      <x:c r="D300" t="str">
        <x:v>연차 (1.0)</x:v>
      </x:c>
      <x:c r="E300" s="47" t="n">
        <x:v>46149</x:v>
      </x:c>
      <x:c r="F300" s="47" t="n">
        <x:v>46149</x:v>
      </x:c>
      <x:c r="G300" s="56"/>
      <x:c r="H300" t="str">
        <x:v>승인</x:v>
      </x:c>
      <x:c r="I300" t="str">
        <x:v>개인사정으로 인해 연차 신청합니다.</x:v>
      </x:c>
      <x:c r="J300" s="56" t="n">
        <x:f>IF(OR(ISNUMBER(SEARCH("반차",D300)),ISNUMBER(SEARCH("0.5",D300))),IF(G300&gt;0,G300,0.5),IF(AND(ISNUMBER(SEARCH("연차",D300)),NOT(ISNUMBER(SEARCH("부여",D300)))),IF(G300&lt;&gt;"",G300,MAX(1,F300-E300+1)),0))</x:f>
        <x:v>1</x:v>
      </x:c>
      <x:c r="K300" s="58" t="n">
        <x:v>46141</x:v>
      </x:c>
    </x:row>
    <x:row r="301">
      <x:c r="A301" t="str">
        <x:v>123a8b0d-d041-426c-aa79-f891a2d687a7</x:v>
      </x:c>
      <x:c r="B301" t="str">
        <x:v>박철홍정형외과</x:v>
      </x:c>
      <x:c r="C301" t="str">
        <x:v>홍자비</x:v>
      </x:c>
      <x:c r="D301" t="str">
        <x:v>연차 (1.0)</x:v>
      </x:c>
      <x:c r="E301" s="47" t="n">
        <x:v>46155</x:v>
      </x:c>
      <x:c r="F301" s="47" t="n">
        <x:v>46155</x:v>
      </x:c>
      <x:c r="G301" s="56"/>
      <x:c r="H301" t="str">
        <x:v>승인</x:v>
      </x:c>
      <x:c r="I301" t="str">
        <x:v>개인사정으로 인하여 연차 신청합니다.</x:v>
      </x:c>
      <x:c r="J301" s="56" t="n">
        <x:f>IF(OR(ISNUMBER(SEARCH("반차",D301)),ISNUMBER(SEARCH("0.5",D301))),IF(G301&gt;0,G301,0.5),IF(AND(ISNUMBER(SEARCH("연차",D301)),NOT(ISNUMBER(SEARCH("부여",D301)))),IF(G301&lt;&gt;"",G301,MAX(1,F301-E301+1)),0))</x:f>
        <x:v>1</x:v>
      </x:c>
      <x:c r="K301" s="58" t="n">
        <x:v>46148</x:v>
      </x:c>
    </x:row>
    <x:row r="302">
      <x:c r="A302" t="str">
        <x:v>123a8b0d-d041-426c-aa79-f891a2d687a7</x:v>
      </x:c>
      <x:c r="B302" t="str">
        <x:v>박철홍정형외과</x:v>
      </x:c>
      <x:c r="C302" t="str">
        <x:v>홍자비</x:v>
      </x:c>
      <x:c r="D302" t="str">
        <x:v>연차 (1.0)</x:v>
      </x:c>
      <x:c r="E302" s="47" t="n">
        <x:v>46168</x:v>
      </x:c>
      <x:c r="F302" s="47" t="n">
        <x:v>46171</x:v>
      </x:c>
      <x:c r="G302" s="56"/>
      <x:c r="H302" t="str">
        <x:v>승인</x:v>
      </x:c>
      <x:c r="I302" t="str">
        <x:v>개인사정으로 인하여 연차 신청합니다.</x:v>
      </x:c>
      <x:c r="J302" s="56" t="n">
        <x:f>IF(OR(ISNUMBER(SEARCH("반차",D302)),ISNUMBER(SEARCH("0.5",D302))),IF(G302&gt;0,G302,0.5),IF(AND(ISNUMBER(SEARCH("연차",D302)),NOT(ISNUMBER(SEARCH("부여",D302)))),IF(G302&lt;&gt;"",G302,MAX(1,F302-E302+1)),0))</x:f>
        <x:v>4</x:v>
      </x:c>
      <x:c r="K302" s="58" t="n">
        <x:v>46168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b633d37bae14be1"/>
  </x:tableParts>
</x:worksheet>
</file>